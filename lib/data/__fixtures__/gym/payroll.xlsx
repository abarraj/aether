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andrewbarraj/Downloads/"/>
    </mc:Choice>
  </mc:AlternateContent>
  <xr:revisionPtr revIDLastSave="0" documentId="8_{DF68B60C-EB30-9B45-9E29-852398F11C72}" xr6:coauthVersionLast="47" xr6:coauthVersionMax="47" xr10:uidLastSave="{00000000-0000-0000-0000-000000000000}"/>
  <bookViews>
    <workbookView xWindow="0" yWindow="660" windowWidth="30240" windowHeight="17820" xr2:uid="{00000000-000D-0000-FFFF-FFFF00000000}"/>
  </bookViews>
  <sheets>
    <sheet name="Total" sheetId="1" r:id="rId1"/>
    <sheet name="Niki Farnaz" sheetId="2" r:id="rId2"/>
    <sheet name="Amusia Sukkar" sheetId="3" r:id="rId3"/>
    <sheet name="Yara Jabbour" sheetId="4" r:id="rId4"/>
    <sheet name="Joanne Skaff" sheetId="5" r:id="rId5"/>
    <sheet name="Ghenwa Bazzi" sheetId="6" r:id="rId6"/>
    <sheet name="Karim Zein" sheetId="7" r:id="rId7"/>
    <sheet name="Sasha Rustom" sheetId="8" r:id="rId8"/>
    <sheet name="Andrea Tambe" sheetId="9" r:id="rId9"/>
    <sheet name="Sara Assaf" sheetId="10" r:id="rId10"/>
    <sheet name="Juliana Haddad" sheetId="11" r:id="rId11"/>
    <sheet name="Aceel Jawad" sheetId="12" r:id="rId12"/>
    <sheet name="ClaraNour Bekhazi" sheetId="13" r:id="rId13"/>
    <sheet name="Gise Rodriguez" sheetId="14" r:id="rId14"/>
    <sheet name="Mayssa Takieddine" sheetId="15" r:id="rId15"/>
    <sheet name="Laura Tannous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uri="GoogleSheetsCustomDataVersion2">
      <go:sheetsCustomData xmlns:go="http://customooxmlschemas.google.com/" r:id="rId20" roundtripDataChecksum="tU1zblCJWzRzV5XajEZYBOl0nV8JHgTiCJ3mmO+4Hpw="/>
    </ext>
  </extLst>
</workbook>
</file>

<file path=xl/calcChain.xml><?xml version="1.0" encoding="utf-8"?>
<calcChain xmlns="http://schemas.openxmlformats.org/spreadsheetml/2006/main">
  <c r="D10" i="16" l="1"/>
  <c r="C16" i="1" s="1"/>
  <c r="E16" i="1" s="1"/>
  <c r="F16" i="1" s="1"/>
  <c r="C10" i="16"/>
  <c r="E9" i="16"/>
  <c r="E8" i="16"/>
  <c r="E7" i="16"/>
  <c r="E6" i="16"/>
  <c r="E5" i="16"/>
  <c r="E4" i="16"/>
  <c r="E3" i="16"/>
  <c r="E2" i="16"/>
  <c r="E10" i="16" s="1"/>
  <c r="D16" i="1" s="1"/>
  <c r="D6" i="15"/>
  <c r="C15" i="1" s="1"/>
  <c r="C6" i="15"/>
  <c r="E5" i="15"/>
  <c r="E4" i="15"/>
  <c r="E3" i="15"/>
  <c r="E2" i="15"/>
  <c r="E6" i="15" s="1"/>
  <c r="D15" i="1" s="1"/>
  <c r="D3" i="14"/>
  <c r="C3" i="14"/>
  <c r="E2" i="14"/>
  <c r="D24" i="13"/>
  <c r="C13" i="1" s="1"/>
  <c r="E13" i="1" s="1"/>
  <c r="F13" i="1" s="1"/>
  <c r="C24" i="13"/>
  <c r="D33" i="12"/>
  <c r="C12" i="1" s="1"/>
  <c r="E12" i="1" s="1"/>
  <c r="F12" i="1" s="1"/>
  <c r="C33" i="12"/>
  <c r="E29" i="12"/>
  <c r="E28" i="12"/>
  <c r="E27" i="12"/>
  <c r="E26" i="12"/>
  <c r="E25" i="12"/>
  <c r="E24" i="12"/>
  <c r="E23" i="12"/>
  <c r="E22" i="12"/>
  <c r="E21" i="12"/>
  <c r="E20" i="12"/>
  <c r="E19" i="12"/>
  <c r="E18" i="12"/>
  <c r="E17" i="12"/>
  <c r="E16" i="12"/>
  <c r="E15" i="12"/>
  <c r="E14" i="12"/>
  <c r="E13" i="12"/>
  <c r="E12" i="12"/>
  <c r="E11" i="12"/>
  <c r="E10" i="12"/>
  <c r="E9" i="12"/>
  <c r="E8" i="12"/>
  <c r="E7" i="12"/>
  <c r="E6" i="12"/>
  <c r="E5" i="12"/>
  <c r="E4" i="12"/>
  <c r="E33" i="12" s="1"/>
  <c r="D12" i="1" s="1"/>
  <c r="E3" i="12"/>
  <c r="E2" i="12"/>
  <c r="D53" i="11"/>
  <c r="C53" i="11"/>
  <c r="E49" i="11"/>
  <c r="E48" i="11"/>
  <c r="E47" i="11"/>
  <c r="E46" i="11"/>
  <c r="E45" i="11"/>
  <c r="E44" i="11"/>
  <c r="E43" i="11"/>
  <c r="E42" i="11"/>
  <c r="E41" i="11"/>
  <c r="E40" i="11"/>
  <c r="E39" i="11"/>
  <c r="E38" i="11"/>
  <c r="E37" i="11"/>
  <c r="E36" i="11"/>
  <c r="E35" i="11"/>
  <c r="E34" i="11"/>
  <c r="E33" i="11"/>
  <c r="E32" i="11"/>
  <c r="E31" i="11"/>
  <c r="E30" i="11"/>
  <c r="E29" i="11"/>
  <c r="E28" i="11"/>
  <c r="E27" i="11"/>
  <c r="E26" i="11"/>
  <c r="E25" i="11"/>
  <c r="E24" i="11"/>
  <c r="E23" i="11"/>
  <c r="E22" i="11"/>
  <c r="E21" i="11"/>
  <c r="E20" i="11"/>
  <c r="E19" i="11"/>
  <c r="E18" i="11"/>
  <c r="E17" i="11"/>
  <c r="E16" i="11"/>
  <c r="E15" i="11"/>
  <c r="E14" i="11"/>
  <c r="E13" i="11"/>
  <c r="E12" i="11"/>
  <c r="E11" i="11"/>
  <c r="E10" i="11"/>
  <c r="E9" i="11"/>
  <c r="E8" i="11"/>
  <c r="E7" i="11"/>
  <c r="E6" i="11"/>
  <c r="E5" i="11"/>
  <c r="E4" i="11"/>
  <c r="E3" i="11"/>
  <c r="E2" i="11"/>
  <c r="E53" i="11" s="1"/>
  <c r="D8" i="1" s="1"/>
  <c r="D77" i="10"/>
  <c r="C77" i="10"/>
  <c r="E73" i="10"/>
  <c r="E72" i="10"/>
  <c r="E71" i="10"/>
  <c r="E70" i="10"/>
  <c r="E69" i="10"/>
  <c r="E68" i="10"/>
  <c r="E67" i="10"/>
  <c r="E66" i="10"/>
  <c r="E65" i="10"/>
  <c r="E64" i="10"/>
  <c r="E63" i="10"/>
  <c r="E62" i="10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E48" i="10"/>
  <c r="E47" i="10"/>
  <c r="E46" i="10"/>
  <c r="E45" i="10"/>
  <c r="E44" i="10"/>
  <c r="E43" i="10"/>
  <c r="E42" i="10"/>
  <c r="E41" i="10"/>
  <c r="E40" i="10"/>
  <c r="E39" i="10"/>
  <c r="E38" i="10"/>
  <c r="E37" i="10"/>
  <c r="E36" i="10"/>
  <c r="E35" i="10"/>
  <c r="E34" i="10"/>
  <c r="E33" i="10"/>
  <c r="E32" i="10"/>
  <c r="E31" i="10"/>
  <c r="E30" i="10"/>
  <c r="E29" i="10"/>
  <c r="E28" i="10"/>
  <c r="E27" i="10"/>
  <c r="E26" i="10"/>
  <c r="E25" i="10"/>
  <c r="E24" i="10"/>
  <c r="E77" i="10" s="1"/>
  <c r="D3" i="1" s="1"/>
  <c r="E23" i="10"/>
  <c r="E22" i="10"/>
  <c r="E21" i="10"/>
  <c r="E20" i="10"/>
  <c r="E19" i="10"/>
  <c r="E18" i="10"/>
  <c r="E17" i="10"/>
  <c r="E16" i="10"/>
  <c r="E15" i="10"/>
  <c r="E14" i="10"/>
  <c r="E13" i="10"/>
  <c r="E12" i="10"/>
  <c r="E11" i="10"/>
  <c r="E10" i="10"/>
  <c r="E9" i="10"/>
  <c r="E8" i="10"/>
  <c r="E7" i="10"/>
  <c r="E6" i="10"/>
  <c r="E5" i="10"/>
  <c r="E4" i="10"/>
  <c r="E3" i="10"/>
  <c r="E2" i="10"/>
  <c r="E14" i="9"/>
  <c r="D9" i="1" s="1"/>
  <c r="D14" i="9"/>
  <c r="C14" i="9"/>
  <c r="E11" i="9"/>
  <c r="E10" i="9"/>
  <c r="E9" i="9"/>
  <c r="E8" i="9"/>
  <c r="E7" i="9"/>
  <c r="E6" i="9"/>
  <c r="E5" i="9"/>
  <c r="E4" i="9"/>
  <c r="E3" i="9"/>
  <c r="E2" i="9"/>
  <c r="D20" i="8"/>
  <c r="C20" i="8"/>
  <c r="E16" i="8"/>
  <c r="E15" i="8"/>
  <c r="E14" i="8"/>
  <c r="E13" i="8"/>
  <c r="E12" i="8"/>
  <c r="E11" i="8"/>
  <c r="E10" i="8"/>
  <c r="E9" i="8"/>
  <c r="E8" i="8"/>
  <c r="E7" i="8"/>
  <c r="E6" i="8"/>
  <c r="E5" i="8"/>
  <c r="E4" i="8"/>
  <c r="E3" i="8"/>
  <c r="E2" i="8"/>
  <c r="E20" i="8" s="1"/>
  <c r="D7" i="1" s="1"/>
  <c r="D120" i="7"/>
  <c r="C120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120" i="7" s="1"/>
  <c r="D2" i="1" s="1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E2" i="7"/>
  <c r="D38" i="6"/>
  <c r="C38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4" i="6"/>
  <c r="E3" i="6"/>
  <c r="E2" i="6"/>
  <c r="E38" i="6" s="1"/>
  <c r="D6" i="1" s="1"/>
  <c r="E48" i="5"/>
  <c r="D48" i="5"/>
  <c r="C48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2" i="5"/>
  <c r="D12" i="4"/>
  <c r="C12" i="4"/>
  <c r="E5" i="4"/>
  <c r="E4" i="4"/>
  <c r="E3" i="4"/>
  <c r="E2" i="4"/>
  <c r="E12" i="4" s="1"/>
  <c r="D11" i="1" s="1"/>
  <c r="D23" i="3"/>
  <c r="C23" i="3"/>
  <c r="E22" i="3"/>
  <c r="E23" i="3" s="1"/>
  <c r="D4" i="1" s="1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D20" i="2"/>
  <c r="C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E20" i="2" s="1"/>
  <c r="D10" i="1" s="1"/>
  <c r="D21" i="1"/>
  <c r="D20" i="1"/>
  <c r="D29" i="1" s="1"/>
  <c r="C14" i="1"/>
  <c r="C11" i="1"/>
  <c r="E11" i="1" s="1"/>
  <c r="F11" i="1" s="1"/>
  <c r="C10" i="1"/>
  <c r="E10" i="1" s="1"/>
  <c r="F10" i="1" s="1"/>
  <c r="C9" i="1"/>
  <c r="C8" i="1"/>
  <c r="E8" i="1" s="1"/>
  <c r="F8" i="1" s="1"/>
  <c r="C7" i="1"/>
  <c r="E7" i="1" s="1"/>
  <c r="F7" i="1" s="1"/>
  <c r="C6" i="1"/>
  <c r="E6" i="1" s="1"/>
  <c r="F6" i="1" s="1"/>
  <c r="D5" i="1"/>
  <c r="C5" i="1"/>
  <c r="E5" i="1" s="1"/>
  <c r="F5" i="1" s="1"/>
  <c r="C4" i="1"/>
  <c r="E4" i="1" s="1"/>
  <c r="F4" i="1" s="1"/>
  <c r="C3" i="1"/>
  <c r="E3" i="1" s="1"/>
  <c r="F3" i="1" s="1"/>
  <c r="C2" i="1"/>
  <c r="D14" i="1" l="1"/>
  <c r="E3" i="14"/>
  <c r="C17" i="1"/>
  <c r="E2" i="1"/>
  <c r="F2" i="1" s="1"/>
  <c r="E9" i="1"/>
  <c r="F9" i="1" s="1"/>
  <c r="E15" i="1"/>
  <c r="F15" i="1" s="1"/>
  <c r="E14" i="1" l="1"/>
  <c r="F14" i="1" s="1"/>
  <c r="F17" i="1" s="1"/>
  <c r="D31" i="1" s="1"/>
  <c r="D1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9" authorId="0" shapeId="0" xr:uid="{00000000-0006-0000-0000-000002000000}">
      <text>
        <r>
          <rPr>
            <sz val="12"/>
            <color theme="1"/>
            <rFont val="Calibri"/>
            <scheme val="minor"/>
          </rPr>
          <t>======
ID#AAABy7NmUP8
Farah Dagher    (2026-01-22 06:45:35)
Start date is January 05</t>
        </r>
      </text>
    </comment>
    <comment ref="C20" authorId="0" shapeId="0" xr:uid="{00000000-0006-0000-0000-000003000000}">
      <text>
        <r>
          <rPr>
            <sz val="12"/>
            <color theme="1"/>
            <rFont val="Calibri"/>
            <scheme val="minor"/>
          </rPr>
          <t>======
ID#AAABy7rstmU
Farah Dagher    (2026-01-22 05:42:27)
overtime</t>
        </r>
      </text>
    </comment>
    <comment ref="D21" authorId="0" shapeId="0" xr:uid="{00000000-0006-0000-0000-000001000000}">
      <text>
        <r>
          <rPr>
            <sz val="12"/>
            <color theme="1"/>
            <rFont val="Calibri"/>
            <scheme val="minor"/>
          </rPr>
          <t>======
ID#AAABvF0mMT0
Farah Dagher    (2026-01-29 05:07:58)
2 hours overtime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APpgC1wEWnxwJmQHofaY5QBXcZw=="/>
    </ext>
  </extLst>
</comments>
</file>

<file path=xl/sharedStrings.xml><?xml version="1.0" encoding="utf-8"?>
<sst xmlns="http://schemas.openxmlformats.org/spreadsheetml/2006/main" count="901" uniqueCount="276">
  <si>
    <t>Instructor</t>
  </si>
  <si>
    <t xml:space="preserve">Earnings </t>
  </si>
  <si>
    <t xml:space="preserve">Bonus </t>
  </si>
  <si>
    <t>Total</t>
  </si>
  <si>
    <t xml:space="preserve">Rounded </t>
  </si>
  <si>
    <t>Prepared?</t>
  </si>
  <si>
    <t>Paid</t>
  </si>
  <si>
    <t>Notes</t>
  </si>
  <si>
    <t xml:space="preserve">Karim Zein </t>
  </si>
  <si>
    <t>Lagree</t>
  </si>
  <si>
    <t>Sara Assaf</t>
  </si>
  <si>
    <t>Amusia Sukkar</t>
  </si>
  <si>
    <t>Mat</t>
  </si>
  <si>
    <t>Joanne Skaff</t>
  </si>
  <si>
    <t>Ghenwa Bazzi</t>
  </si>
  <si>
    <t xml:space="preserve">Sasha Rustom </t>
  </si>
  <si>
    <t>Juliana Haddad</t>
  </si>
  <si>
    <t>Andrea Tambe</t>
  </si>
  <si>
    <t>Niki Farnaz</t>
  </si>
  <si>
    <t>-111$ for taxes</t>
  </si>
  <si>
    <t xml:space="preserve">Yara Jabbour </t>
  </si>
  <si>
    <t>Aceel Jawad</t>
  </si>
  <si>
    <t>ClaraNour Bekhazi</t>
  </si>
  <si>
    <t>Gise Rodriguez</t>
  </si>
  <si>
    <t>Mayssa Takieddine</t>
  </si>
  <si>
    <t>Lauran Tannous</t>
  </si>
  <si>
    <t>SUBTOTAL (INDIRECT)</t>
  </si>
  <si>
    <t>Name</t>
  </si>
  <si>
    <t>Base Pay</t>
  </si>
  <si>
    <t>Earnings</t>
  </si>
  <si>
    <t>Mahmoud Dimassi</t>
  </si>
  <si>
    <t>Base $700</t>
  </si>
  <si>
    <t xml:space="preserve">   </t>
  </si>
  <si>
    <t>Farah Hachem</t>
  </si>
  <si>
    <t>Base $1,500</t>
  </si>
  <si>
    <t xml:space="preserve">Laetitia Bassil </t>
  </si>
  <si>
    <t>Farah Dagher</t>
  </si>
  <si>
    <t>Base $5,000</t>
  </si>
  <si>
    <t>Michelle Chammas</t>
  </si>
  <si>
    <t>Tandeef (Cleaners)</t>
  </si>
  <si>
    <t>Base $1,840 + tax</t>
  </si>
  <si>
    <t>Ghina(Accountant)</t>
  </si>
  <si>
    <t>Base $200</t>
  </si>
  <si>
    <t>Gaelle Aoun</t>
  </si>
  <si>
    <t>Base $219</t>
  </si>
  <si>
    <t>6 days (Jan 26–31)</t>
  </si>
  <si>
    <t>Yasmina Nassar</t>
  </si>
  <si>
    <t>Sara Bouhamad</t>
  </si>
  <si>
    <t>Base $1500</t>
  </si>
  <si>
    <t>15 days (Jan 17–31)</t>
  </si>
  <si>
    <t>SUBTOTAL (DIRECT)</t>
  </si>
  <si>
    <t>GRAND TOTAL</t>
  </si>
  <si>
    <t>x</t>
  </si>
  <si>
    <t>Class Name</t>
  </si>
  <si>
    <t>Date and Time</t>
  </si>
  <si>
    <t>Attendees Nbr.</t>
  </si>
  <si>
    <t>Bonus</t>
  </si>
  <si>
    <t>Hot Mat Pilates - Burn</t>
  </si>
  <si>
    <t>Hot Mat Pilates -Burn</t>
  </si>
  <si>
    <t>Hot Mat Pilates -Burn&lt;i class ="fa fa-info-circle red-text font-size-16" [matTooltip]="'Some clients attended as session(s) owed'" [matTooltipPosition]="'above'"&gt;&lt;/i&gt;</t>
  </si>
  <si>
    <t>13/01/2026 10:00:00</t>
  </si>
  <si>
    <t>13/01/2026 11:00:00</t>
  </si>
  <si>
    <t>14/01/2026 08:00:00</t>
  </si>
  <si>
    <t>14/01/2026 09:00:00</t>
  </si>
  <si>
    <t>19/01/2026 11:00:00</t>
  </si>
  <si>
    <t>19/01/2026 12:00:00</t>
  </si>
  <si>
    <t>Hot Mat Pilates - Burn&lt;i class ="fa fa-info-circle red-text font-size-16" [matTooltip]="'Some clients attended as session(s) owed'" [matTooltipPosition]="'above'"&gt;&lt;/i&gt;</t>
  </si>
  <si>
    <t>21/01/2026 08:00:00</t>
  </si>
  <si>
    <t>21/01/2026 09:00:00</t>
  </si>
  <si>
    <t>26/01/2026 11:00:00</t>
  </si>
  <si>
    <t>26/01/2026 12:00:00</t>
  </si>
  <si>
    <t>27/01/2026 10:00:00</t>
  </si>
  <si>
    <t>27/01/2026 11:00:00</t>
  </si>
  <si>
    <t>28/01/2026 08:00:00</t>
  </si>
  <si>
    <t>28/01/2026 09:00:00</t>
  </si>
  <si>
    <t>Hot Mat Pilates - Move</t>
  </si>
  <si>
    <t>Hot Mat Pilates - Move&lt;i class ="fa fa-info-circle red-text font-size-16" [matTooltip]="'Some clients attended as session(s) owed'" [matTooltipPosition]="'above'"&gt;&lt;/i&gt;</t>
  </si>
  <si>
    <t>14/01/2026 18:00:00</t>
  </si>
  <si>
    <t>14/01/2026 19:00:00</t>
  </si>
  <si>
    <t>14/01/2026 20:00:00</t>
  </si>
  <si>
    <t>17/01/2026 09:00:00</t>
  </si>
  <si>
    <t>17/01/2026 10:00:00</t>
  </si>
  <si>
    <t>19/01/2026 19:00:00</t>
  </si>
  <si>
    <t>21/01/2026 18:00:00</t>
  </si>
  <si>
    <t>21/01/2026 19:00:00</t>
  </si>
  <si>
    <t>21/01/2026 20:00:00</t>
  </si>
  <si>
    <t>24/01/2026 09:00:00</t>
  </si>
  <si>
    <t>24/01/2026 10:00:00</t>
  </si>
  <si>
    <t>28/01/2026 18:00:00</t>
  </si>
  <si>
    <t>28/01/2026 19:00:00</t>
  </si>
  <si>
    <t>28/01/2026 20:00:00</t>
  </si>
  <si>
    <t>31/01/2026 09:00:00</t>
  </si>
  <si>
    <t>31/01/2026 10:00:00</t>
  </si>
  <si>
    <t>Hot Flow Slow - Yoga</t>
  </si>
  <si>
    <t>19/01/2026 18:00:00</t>
  </si>
  <si>
    <t>26/01/2026 18:00:00</t>
  </si>
  <si>
    <t>Lagree Mega Pro</t>
  </si>
  <si>
    <t>Hot Mat Pilates -Move &lt;i class ="fa fa-info-circle red-text font-size-16" [matTooltip]="'Some clients attended as session(s) owed'" [matTooltipPosition]="'above'"&gt;&lt;/i&gt;</t>
  </si>
  <si>
    <t>Unheated Mat Pilates - Move</t>
  </si>
  <si>
    <t>Hot Mat Pilates-Move</t>
  </si>
  <si>
    <t>Hot Mat Pilates -Move</t>
  </si>
  <si>
    <t>Lagree Mega Pro&lt;i class ="fa fa-info-circle red-text font-size-16" [matTooltip]="'Some clients attended as session(s) owed'" [matTooltipPosition]="'above'"&gt;&lt;/i&gt;</t>
  </si>
  <si>
    <t>13/01/2026 18:00:00</t>
  </si>
  <si>
    <t>13/01/2026 19:00:00</t>
  </si>
  <si>
    <t>15/01/2026 09:00:00</t>
  </si>
  <si>
    <t>15/01/2026 10:00:00</t>
  </si>
  <si>
    <t>18/01/2026 12:00:00</t>
  </si>
  <si>
    <t>19/01/2026 09:00:00</t>
  </si>
  <si>
    <t>19/01/2026 17:00:00</t>
  </si>
  <si>
    <t>21/01/2026 11:00:00</t>
  </si>
  <si>
    <t>23/01/2026 11:00:00</t>
  </si>
  <si>
    <t>25/01/2026 12:00:00</t>
  </si>
  <si>
    <t>27/01/2026 17:00:00</t>
  </si>
  <si>
    <t>Lagree Mega Pro[Lower Focus &amp; Core]</t>
  </si>
  <si>
    <t>27/01/2026 18:00:00</t>
  </si>
  <si>
    <t>28/01/2026 10:00:00</t>
  </si>
  <si>
    <t>29/01/2026 10:00:00</t>
  </si>
  <si>
    <t>30/01/2026 11:00:00</t>
  </si>
  <si>
    <t>14/01/2026 12:00:00</t>
  </si>
  <si>
    <t>20/01/2026 12:00:00</t>
  </si>
  <si>
    <t>20/01/2026 19:00:00</t>
  </si>
  <si>
    <t>20/01/2026 20:00:00</t>
  </si>
  <si>
    <t>21/01/2026 12:00:00</t>
  </si>
  <si>
    <t>23/01/2026 12:00:00</t>
  </si>
  <si>
    <t>26/01/2026 19:00:00</t>
  </si>
  <si>
    <t>26/01/2026 20:00:00</t>
  </si>
  <si>
    <t>27/01/2026 12:00:00</t>
  </si>
  <si>
    <t>27/01/2026 19:00:00</t>
  </si>
  <si>
    <t>28/01/2026 12:00:00</t>
  </si>
  <si>
    <t>30/01/2026 12:00:00</t>
  </si>
  <si>
    <t>Hot Sculpt</t>
  </si>
  <si>
    <t>Hot Sculpt &lt;i class ="fa fa-info-circle red-text font-size-16" [matTooltip]="'Some clients attended as session(s) owed'" [matTooltipPosition]="'above'"&gt;&lt;/i&gt;</t>
  </si>
  <si>
    <t>Lagree Mega Pro [Upper Focus &amp; Core]&lt;i class ="fa fa-info-circle red-text font-size-16" [matTooltip]="'Some clients attended as session(s) owed'" [matTooltipPosition]="'above'"&gt;&lt;/i&gt;</t>
  </si>
  <si>
    <t>Lagree Mega Pro  &lt;i class ="fa fa-info-circle red-text font-size-16" [matTooltip]="'Some clients attended as session(s) owed'" [matTooltipPosition]="'above'"&gt;&lt;/i&gt;</t>
  </si>
  <si>
    <t>Unheated Sculpt</t>
  </si>
  <si>
    <t>Lagree Mega Pro [Upper Focus &amp; Core]</t>
  </si>
  <si>
    <t>13/01/2026 09:00:00</t>
  </si>
  <si>
    <t>13/01/2026 12:00:00</t>
  </si>
  <si>
    <t>13/01/2026 13:00:00</t>
  </si>
  <si>
    <t>13/01/2026 17:00:00</t>
  </si>
  <si>
    <t>13/01/2026 20:00:00</t>
  </si>
  <si>
    <t>13/01/2026 21:00:00</t>
  </si>
  <si>
    <t>14/01/2026 11:00:00</t>
  </si>
  <si>
    <t>15/01/2026 11:00:00</t>
  </si>
  <si>
    <t>15/01/2026 17:00:00</t>
  </si>
  <si>
    <t>15/01/2026 18:00:00</t>
  </si>
  <si>
    <t>15/01/2026 19:00:00</t>
  </si>
  <si>
    <t>15/01/2026 20:00:00</t>
  </si>
  <si>
    <t>15/01/2026 21:00:00</t>
  </si>
  <si>
    <t>16/01/2026 09:00:00</t>
  </si>
  <si>
    <t>16/01/2026 17:00:00</t>
  </si>
  <si>
    <t>16/01/2026 18:00:00</t>
  </si>
  <si>
    <t>16/01/2026 19:00:00</t>
  </si>
  <si>
    <t>17/01/2026 11:00:00</t>
  </si>
  <si>
    <t>17/01/2026 12:00:00</t>
  </si>
  <si>
    <t>17/01/2026 13:00:00</t>
  </si>
  <si>
    <t>17/01/2026 17:00:00</t>
  </si>
  <si>
    <t>17/01/2026 18:00:00</t>
  </si>
  <si>
    <t>18/01/2026 09:00:00</t>
  </si>
  <si>
    <t>18/01/2026 10:00:00</t>
  </si>
  <si>
    <t>Lagree Mega Pro &lt;i class ="fa fa-info-circle red-text font-size-16" [matTooltip]="'Some clients attended as session(s) owed'" [matTooltipPosition]="'above'"&gt;&lt;/i&gt;</t>
  </si>
  <si>
    <t>18/01/2026 11:00:00</t>
  </si>
  <si>
    <t>18/01/2026 13:00:00</t>
  </si>
  <si>
    <t>18/01/2026 17:00:00</t>
  </si>
  <si>
    <t>18/01/2026 18:00:00</t>
  </si>
  <si>
    <t>19/01/2026 20:00:00</t>
  </si>
  <si>
    <t>20/01/2026 09:00:00</t>
  </si>
  <si>
    <t>20/01/2026 10:00:00</t>
  </si>
  <si>
    <t>Hot Sculpt&lt;i class ="fa fa-info-circle red-text font-size-16" [matTooltip]="'Some clients attended as session(s) owed'" [matTooltipPosition]="'above'"&gt;&lt;/i&gt;</t>
  </si>
  <si>
    <t>20/01/2026 11:00:00</t>
  </si>
  <si>
    <t>20/01/2026 13:00:00</t>
  </si>
  <si>
    <t>20/01/2026 17:00:00</t>
  </si>
  <si>
    <t>20/01/2026 18:00:00</t>
  </si>
  <si>
    <t>20/01/2026 21:00:00</t>
  </si>
  <si>
    <t>Unheated Sculpt&lt;i class ="fa fa-info-circle red-text font-size-16" [matTooltip]="'Some clients attended as session(s) owed'" [matTooltipPosition]="'above'"&gt;&lt;/i&gt;</t>
  </si>
  <si>
    <t>21/01/2026 21:00:00</t>
  </si>
  <si>
    <t>22/01/2026 11:00:00</t>
  </si>
  <si>
    <t>22/01/2026 17:00:00</t>
  </si>
  <si>
    <t>22/01/2026 18:00:00</t>
  </si>
  <si>
    <t>22/01/2026 19:00:00</t>
  </si>
  <si>
    <t>22/01/2026 20:00:00</t>
  </si>
  <si>
    <t>22/01/2026 21:00:00</t>
  </si>
  <si>
    <t>23/01/2026 17:00:00</t>
  </si>
  <si>
    <t>23/01/2026 18:00:00</t>
  </si>
  <si>
    <t>23/01/2026 19:00:00</t>
  </si>
  <si>
    <t>23/01/2026 20:00:00</t>
  </si>
  <si>
    <t>24/01/2026 11:00:00</t>
  </si>
  <si>
    <t>24/01/2026 12:00:00</t>
  </si>
  <si>
    <t>24/01/2026 13:00:00</t>
  </si>
  <si>
    <t>24/01/2026 17:00:00</t>
  </si>
  <si>
    <t>24/01/2026 18:00:00</t>
  </si>
  <si>
    <t>Lagree Mega Pro[Lower Focus &amp; Core]&lt;i class ="fa fa-info-circle red-text font-size-16" [matTooltip]="'Some clients attended as session(s) owed'" [matTooltipPosition]="'above'"&gt;&lt;/i&gt;</t>
  </si>
  <si>
    <t>22/01/2026 08:00:00</t>
  </si>
  <si>
    <t>Hot Flow Slow - Yoga&lt;i class ="fa fa-info-circle red-text font-size-16" [matTooltip]="'Some clients attended as session(s) owed'" [matTooltipPosition]="'above'"&gt;&lt;/i&gt;</t>
  </si>
  <si>
    <t>16/01/2026 10:00:00</t>
  </si>
  <si>
    <t>23/01/2026 10:00:00</t>
  </si>
  <si>
    <t>28/01/2026 17:00:00</t>
  </si>
  <si>
    <t>30/01/2026 10:00:00</t>
  </si>
  <si>
    <t>Hot Barre-Burn</t>
  </si>
  <si>
    <t>13/01/2026 08:00:00</t>
  </si>
  <si>
    <t>14/01/2026 07:00:00</t>
  </si>
  <si>
    <t>14/01/2026 17:00:00</t>
  </si>
  <si>
    <t>15/01/2026 08:00:00</t>
  </si>
  <si>
    <t>15/01/2026 12:00:00</t>
  </si>
  <si>
    <t>16/01/2026 07:00:00</t>
  </si>
  <si>
    <t>16/01/2026 08:00:00</t>
  </si>
  <si>
    <t>Hot Barre - Burn</t>
  </si>
  <si>
    <t>16/01/2026 11:00:00</t>
  </si>
  <si>
    <t>16/01/2026 13:00:00</t>
  </si>
  <si>
    <t>19/01/2026 08:00:00</t>
  </si>
  <si>
    <t>19/01/2026 10:00:00</t>
  </si>
  <si>
    <t>21/01/2026 07:00:00</t>
  </si>
  <si>
    <t>21/01/2026 17:00:00</t>
  </si>
  <si>
    <t>22/01/2026 10:00:00</t>
  </si>
  <si>
    <t>22/01/2026 12:00:00</t>
  </si>
  <si>
    <t>23/01/2026 07:00:00</t>
  </si>
  <si>
    <t>23/01/2026 08:00:00</t>
  </si>
  <si>
    <t>23/01/2026 09:00:00</t>
  </si>
  <si>
    <t>23/01/2026 13:00:00</t>
  </si>
  <si>
    <t>Hot Barre-Burn&lt;i class ="fa fa-info-circle red-text font-size-16" [matTooltip]="'Some clients attended as session(s) owed'" [matTooltipPosition]="'above'"&gt;&lt;/i&gt;</t>
  </si>
  <si>
    <t>25/01/2026 09:00:00</t>
  </si>
  <si>
    <t>25/01/2026 10:00:00</t>
  </si>
  <si>
    <t>26/01/2026 08:00:00</t>
  </si>
  <si>
    <t>26/01/2026 09:00:00</t>
  </si>
  <si>
    <t>26/01/2026 10:00:00</t>
  </si>
  <si>
    <t>27/01/2026 08:00:00</t>
  </si>
  <si>
    <t>27/01/2026 09:00:00</t>
  </si>
  <si>
    <t>27/01/2026 13:00:00</t>
  </si>
  <si>
    <t>28/01/2026 07:00:00</t>
  </si>
  <si>
    <t>28/01/2026 11:00:00</t>
  </si>
  <si>
    <t>29/01/2026 08:00:00</t>
  </si>
  <si>
    <t>29/01/2026 11:00:00</t>
  </si>
  <si>
    <t>29/01/2026 12:00:00</t>
  </si>
  <si>
    <t>30/01/2026 07:00:00</t>
  </si>
  <si>
    <t>30/01/2026 08:00:00</t>
  </si>
  <si>
    <t>30/01/2026 09:00:00</t>
  </si>
  <si>
    <t>30/01/2026 13:00:00</t>
  </si>
  <si>
    <t>31/01/2026 12:00:00</t>
  </si>
  <si>
    <t>31/01/2026 13:00:00</t>
  </si>
  <si>
    <t>13/01/2026 07:00:00</t>
  </si>
  <si>
    <t>15/01/2026 07:00:00</t>
  </si>
  <si>
    <t>20/01/2026 07:00:00</t>
  </si>
  <si>
    <t>20/01/2026 08:00:00</t>
  </si>
  <si>
    <t>22/01/2026 07:00:00</t>
  </si>
  <si>
    <t>25/01/2026 11:00:00</t>
  </si>
  <si>
    <t>27/01/2026 07:00:00</t>
  </si>
  <si>
    <t>29/01/2026 07:00:00</t>
  </si>
  <si>
    <t>30/01/2026 17:00:00</t>
  </si>
  <si>
    <t>30/01/2026 18:00:00</t>
  </si>
  <si>
    <t>30/01/2026 19:00:00</t>
  </si>
  <si>
    <t>30/01/2026 20:00:00</t>
  </si>
  <si>
    <t>31/01/2026 11:00:00</t>
  </si>
  <si>
    <t>Hot Mat Pilates-Burn&lt;i class ="fa fa-info-circle red-text font-size-16" [matTooltip]="'Some clients attended as session(s) owed'" [matTooltipPosition]="'above'"&gt;&lt;/i&gt;</t>
  </si>
  <si>
    <t>Hot Flow Hard - Yoga</t>
  </si>
  <si>
    <t>Hot Flow Hard - Yoga&lt;i class ="fa fa-info-circle red-text font-size-16" [matTooltip]="'Some clients attended as session(s) owed'" [matTooltipPosition]="'above'"&gt;&lt;/i&gt;</t>
  </si>
  <si>
    <t>Hot Mat Pilates-Burn</t>
  </si>
  <si>
    <t>16/01/2026 12:00:00</t>
  </si>
  <si>
    <t>27/01/2026 20:00:00</t>
  </si>
  <si>
    <t>29/01/2026 17:00:00</t>
  </si>
  <si>
    <t>29/01/2026 18:00:00</t>
  </si>
  <si>
    <t>29/01/2026 19:00:00</t>
  </si>
  <si>
    <t>Unheated Pilates - Vanessa Kusmierska Lesiak</t>
  </si>
  <si>
    <t>19/01/2026 14:00:00</t>
  </si>
  <si>
    <t>-</t>
  </si>
  <si>
    <t>PT Hot Yoga - Vanessa Kusmierska Lesiak</t>
  </si>
  <si>
    <t>26/01/2026 14:00:00</t>
  </si>
  <si>
    <t>22/01/2026 09:00:00</t>
  </si>
  <si>
    <t>26/01/2026 17:00:00</t>
  </si>
  <si>
    <t>29/01/2026 09:00:00</t>
  </si>
  <si>
    <t>29/01/2026 20:00:00</t>
  </si>
  <si>
    <t>25/01/2026 13:00:00</t>
  </si>
  <si>
    <t>25/01/2026 17:00:00</t>
  </si>
  <si>
    <t>25/01/2026 18:00:00</t>
  </si>
  <si>
    <t>29/01/2026 21:00:00</t>
  </si>
  <si>
    <t>31/01/2026 17:00:00</t>
  </si>
  <si>
    <t>31/01/2026 18:00:00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</si>
</sst>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&quot;$&quot;#,##0.00"/>
    <numFmt numFmtId="165" formatCode="&quot;$&quot;#,##0"/>
    <numFmt numFmtId="166" formatCode="mm/dd/yyyy\ h:mm:ss"/>
    <numFmt numFmtId="167" formatCode="m/d/yyyy\ h:mm:ss"/>
    <numFmt numFmtId="168" formatCode="mm/dd/yyyy"/>
  </numFmts>
  <fonts count="16" x14ac:knownFonts="1">
    <font>
      <sz val="12"/>
      <color theme="1"/>
      <name val="Calibri"/>
      <scheme val="minor"/>
    </font>
    <font>
      <b/>
      <sz val="12"/>
      <color rgb="FFFFFFFF"/>
      <name val="Calibri"/>
    </font>
    <font>
      <b/>
      <i/>
      <sz val="12"/>
      <color rgb="FFFFFFFF"/>
      <name val="Calibri"/>
    </font>
    <font>
      <sz val="12"/>
      <color rgb="FFFFFFFF"/>
      <name val="Calibri"/>
    </font>
    <font>
      <sz val="12"/>
      <color rgb="FF000000"/>
      <name val="Calibri"/>
    </font>
    <font>
      <i/>
      <sz val="12"/>
      <color rgb="FF000000"/>
      <name val="Calibri"/>
    </font>
    <font>
      <sz val="12"/>
      <color theme="1"/>
      <name val="Calibri"/>
    </font>
    <font>
      <sz val="12"/>
      <color theme="1"/>
      <name val="Calibri"/>
    </font>
    <font>
      <b/>
      <sz val="12"/>
      <color theme="1"/>
      <name val="Calibri"/>
    </font>
    <font>
      <b/>
      <sz val="12"/>
      <color theme="1"/>
      <name val="Calibri"/>
      <scheme val="minor"/>
    </font>
    <font>
      <i/>
      <sz val="10"/>
      <color rgb="FF999999"/>
      <name val="Calibri"/>
    </font>
    <font>
      <i/>
      <sz val="12"/>
      <color theme="1"/>
      <name val="Calibri"/>
    </font>
    <font>
      <i/>
      <sz val="10"/>
      <color theme="1"/>
      <name val="Calibri"/>
    </font>
    <font>
      <sz val="11"/>
      <color theme="1"/>
      <name val="Calibri"/>
    </font>
    <font>
      <sz val="12"/>
      <color rgb="FF000000"/>
      <name val="Calibri"/>
    </font>
    <font>
      <sz val="12"/>
      <color theme="1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rgb="FFF8F9FA"/>
        <bgColor rgb="FFF8F9FA"/>
      </patternFill>
    </fill>
  </fills>
  <borders count="19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000000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000000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/>
      <diagonal/>
    </border>
    <border>
      <left style="thin">
        <color rgb="FF356854"/>
      </left>
      <right style="thin">
        <color rgb="FF284E3F"/>
      </right>
      <top style="thin">
        <color rgb="FF284E3F"/>
      </top>
      <bottom/>
      <diagonal/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000000"/>
      </bottom>
      <diagonal/>
    </border>
    <border>
      <left style="thin">
        <color rgb="FFD9EAD3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FFFFFF"/>
      </bottom>
      <diagonal/>
    </border>
    <border>
      <left/>
      <right style="thin">
        <color rgb="FF000000"/>
      </right>
      <top/>
      <bottom/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000000"/>
      </right>
      <top style="thin">
        <color rgb="FFF8F9FA"/>
      </top>
      <bottom style="thin">
        <color rgb="FFF8F9FA"/>
      </bottom>
      <diagonal/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F8F9FA"/>
      </right>
      <top style="thin">
        <color rgb="FF000000"/>
      </top>
      <bottom style="thin">
        <color rgb="FF000000"/>
      </bottom>
      <diagonal/>
    </border>
    <border>
      <left style="thin">
        <color rgb="FFF8F9FA"/>
      </left>
      <right style="thin">
        <color rgb="FFF8F9FA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4" fillId="2" borderId="5" xfId="0" applyFont="1" applyFill="1" applyBorder="1" applyAlignment="1">
      <alignment horizontal="left" vertical="center"/>
    </xf>
    <xf numFmtId="0" fontId="4" fillId="3" borderId="6" xfId="0" applyFont="1" applyFill="1" applyBorder="1" applyAlignment="1">
      <alignment horizontal="left" vertical="center"/>
    </xf>
    <xf numFmtId="164" fontId="4" fillId="4" borderId="6" xfId="0" applyNumberFormat="1" applyFont="1" applyFill="1" applyBorder="1" applyAlignment="1">
      <alignment horizontal="left" vertical="center"/>
    </xf>
    <xf numFmtId="164" fontId="4" fillId="3" borderId="6" xfId="0" applyNumberFormat="1" applyFont="1" applyFill="1" applyBorder="1" applyAlignment="1">
      <alignment horizontal="left" vertical="center"/>
    </xf>
    <xf numFmtId="164" fontId="5" fillId="4" borderId="7" xfId="0" applyNumberFormat="1" applyFont="1" applyFill="1" applyBorder="1" applyAlignment="1">
      <alignment horizontal="left" vertical="center"/>
    </xf>
    <xf numFmtId="0" fontId="6" fillId="2" borderId="8" xfId="0" applyFont="1" applyFill="1" applyBorder="1" applyAlignment="1">
      <alignment horizontal="left"/>
    </xf>
    <xf numFmtId="0" fontId="7" fillId="0" borderId="9" xfId="0" applyFont="1" applyBorder="1" applyAlignment="1">
      <alignment vertical="center"/>
    </xf>
    <xf numFmtId="0" fontId="7" fillId="0" borderId="0" xfId="0" applyFont="1"/>
    <xf numFmtId="164" fontId="7" fillId="2" borderId="0" xfId="0" applyNumberFormat="1" applyFont="1" applyFill="1"/>
    <xf numFmtId="0" fontId="6" fillId="5" borderId="10" xfId="0" applyFont="1" applyFill="1" applyBorder="1" applyAlignment="1">
      <alignment horizontal="left"/>
    </xf>
    <xf numFmtId="0" fontId="6" fillId="2" borderId="11" xfId="0" applyFont="1" applyFill="1" applyBorder="1" applyAlignment="1">
      <alignment horizontal="left"/>
    </xf>
    <xf numFmtId="0" fontId="7" fillId="0" borderId="12" xfId="0" applyFont="1" applyBorder="1" applyAlignment="1">
      <alignment vertical="center"/>
    </xf>
    <xf numFmtId="0" fontId="6" fillId="2" borderId="10" xfId="0" applyFont="1" applyFill="1" applyBorder="1" applyAlignment="1">
      <alignment horizontal="left"/>
    </xf>
    <xf numFmtId="0" fontId="7" fillId="0" borderId="13" xfId="0" applyFont="1" applyBorder="1" applyAlignment="1">
      <alignment vertical="center"/>
    </xf>
    <xf numFmtId="0" fontId="7" fillId="2" borderId="5" xfId="0" applyFont="1" applyFill="1" applyBorder="1" applyAlignment="1">
      <alignment horizontal="left" vertical="center"/>
    </xf>
    <xf numFmtId="164" fontId="7" fillId="4" borderId="6" xfId="0" applyNumberFormat="1" applyFont="1" applyFill="1" applyBorder="1" applyAlignment="1">
      <alignment horizontal="left" vertical="center"/>
    </xf>
    <xf numFmtId="164" fontId="7" fillId="3" borderId="6" xfId="0" applyNumberFormat="1" applyFont="1" applyFill="1" applyBorder="1" applyAlignment="1">
      <alignment horizontal="left" vertical="center"/>
    </xf>
    <xf numFmtId="0" fontId="4" fillId="2" borderId="14" xfId="0" applyFont="1" applyFill="1" applyBorder="1" applyAlignment="1">
      <alignment horizontal="left" vertical="center"/>
    </xf>
    <xf numFmtId="164" fontId="4" fillId="4" borderId="15" xfId="0" applyNumberFormat="1" applyFont="1" applyFill="1" applyBorder="1" applyAlignment="1">
      <alignment horizontal="left" vertical="center"/>
    </xf>
    <xf numFmtId="164" fontId="4" fillId="3" borderId="15" xfId="0" applyNumberFormat="1" applyFont="1" applyFill="1" applyBorder="1" applyAlignment="1">
      <alignment horizontal="left" vertical="center"/>
    </xf>
    <xf numFmtId="0" fontId="4" fillId="2" borderId="16" xfId="0" applyFont="1" applyFill="1" applyBorder="1" applyAlignment="1">
      <alignment horizontal="left" vertical="center"/>
    </xf>
    <xf numFmtId="0" fontId="4" fillId="3" borderId="17" xfId="0" applyFont="1" applyFill="1" applyBorder="1" applyAlignment="1">
      <alignment horizontal="left" vertical="center"/>
    </xf>
    <xf numFmtId="164" fontId="4" fillId="4" borderId="17" xfId="0" applyNumberFormat="1" applyFont="1" applyFill="1" applyBorder="1" applyAlignment="1">
      <alignment horizontal="left" vertical="center"/>
    </xf>
    <xf numFmtId="164" fontId="4" fillId="3" borderId="17" xfId="0" applyNumberFormat="1" applyFont="1" applyFill="1" applyBorder="1" applyAlignment="1">
      <alignment horizontal="left" vertical="center"/>
    </xf>
    <xf numFmtId="0" fontId="7" fillId="2" borderId="16" xfId="0" applyFont="1" applyFill="1" applyBorder="1" applyAlignment="1">
      <alignment horizontal="left" vertical="center"/>
    </xf>
    <xf numFmtId="164" fontId="7" fillId="4" borderId="17" xfId="0" applyNumberFormat="1" applyFont="1" applyFill="1" applyBorder="1" applyAlignment="1">
      <alignment horizontal="left" vertical="center"/>
    </xf>
    <xf numFmtId="164" fontId="7" fillId="2" borderId="17" xfId="0" applyNumberFormat="1" applyFont="1" applyFill="1" applyBorder="1" applyAlignment="1">
      <alignment horizontal="left" vertical="center"/>
    </xf>
    <xf numFmtId="0" fontId="7" fillId="0" borderId="0" xfId="0" applyFont="1" applyAlignment="1">
      <alignment vertical="center"/>
    </xf>
    <xf numFmtId="0" fontId="8" fillId="3" borderId="0" xfId="0" applyFont="1" applyFill="1" applyAlignment="1">
      <alignment horizontal="left"/>
    </xf>
    <xf numFmtId="0" fontId="7" fillId="3" borderId="0" xfId="0" applyFont="1" applyFill="1" applyAlignment="1">
      <alignment horizontal="left"/>
    </xf>
    <xf numFmtId="164" fontId="7" fillId="3" borderId="0" xfId="0" applyNumberFormat="1" applyFont="1" applyFill="1" applyAlignment="1">
      <alignment horizontal="left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righ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6" fillId="2" borderId="0" xfId="0" applyFont="1" applyFill="1" applyAlignment="1">
      <alignment horizontal="center"/>
    </xf>
    <xf numFmtId="164" fontId="10" fillId="0" borderId="0" xfId="0" applyNumberFormat="1" applyFont="1" applyAlignment="1">
      <alignment horizontal="left"/>
    </xf>
    <xf numFmtId="9" fontId="11" fillId="0" borderId="0" xfId="0" applyNumberFormat="1" applyFont="1" applyAlignment="1">
      <alignment horizontal="left"/>
    </xf>
    <xf numFmtId="165" fontId="7" fillId="0" borderId="0" xfId="0" applyNumberFormat="1" applyFont="1" applyAlignment="1">
      <alignment horizontal="left"/>
    </xf>
    <xf numFmtId="0" fontId="6" fillId="2" borderId="0" xfId="0" applyFont="1" applyFill="1" applyAlignment="1">
      <alignment horizontal="left"/>
    </xf>
    <xf numFmtId="0" fontId="6" fillId="5" borderId="0" xfId="0" applyFont="1" applyFill="1" applyAlignment="1">
      <alignment horizontal="left"/>
    </xf>
    <xf numFmtId="0" fontId="6" fillId="5" borderId="0" xfId="0" applyFont="1" applyFill="1" applyAlignment="1">
      <alignment horizontal="center"/>
    </xf>
    <xf numFmtId="164" fontId="12" fillId="0" borderId="0" xfId="0" applyNumberFormat="1" applyFont="1" applyAlignment="1">
      <alignment horizontal="left"/>
    </xf>
    <xf numFmtId="0" fontId="6" fillId="2" borderId="0" xfId="0" applyFont="1" applyFill="1"/>
    <xf numFmtId="0" fontId="6" fillId="0" borderId="0" xfId="0" applyFont="1"/>
    <xf numFmtId="0" fontId="6" fillId="0" borderId="0" xfId="0" applyFont="1" applyAlignment="1">
      <alignment horizontal="left"/>
    </xf>
    <xf numFmtId="10" fontId="6" fillId="2" borderId="0" xfId="0" applyNumberFormat="1" applyFont="1" applyFill="1" applyAlignment="1">
      <alignment horizontal="center"/>
    </xf>
    <xf numFmtId="0" fontId="12" fillId="0" borderId="0" xfId="0" applyFont="1" applyAlignment="1">
      <alignment horizontal="left"/>
    </xf>
    <xf numFmtId="165" fontId="8" fillId="3" borderId="0" xfId="0" applyNumberFormat="1" applyFont="1" applyFill="1" applyAlignment="1">
      <alignment horizontal="left"/>
    </xf>
    <xf numFmtId="0" fontId="3" fillId="0" borderId="0" xfId="0" applyFont="1"/>
    <xf numFmtId="0" fontId="13" fillId="0" borderId="0" xfId="0" applyFont="1"/>
    <xf numFmtId="0" fontId="8" fillId="4" borderId="0" xfId="0" applyFont="1" applyFill="1"/>
    <xf numFmtId="0" fontId="7" fillId="4" borderId="0" xfId="0" applyFont="1" applyFill="1"/>
    <xf numFmtId="164" fontId="8" fillId="4" borderId="0" xfId="0" applyNumberFormat="1" applyFont="1" applyFill="1"/>
    <xf numFmtId="2" fontId="7" fillId="0" borderId="0" xfId="0" applyNumberFormat="1" applyFont="1"/>
    <xf numFmtId="164" fontId="7" fillId="0" borderId="0" xfId="0" applyNumberFormat="1" applyFont="1"/>
    <xf numFmtId="0" fontId="14" fillId="0" borderId="0" xfId="0" applyFont="1" applyAlignment="1">
      <alignment horizontal="left"/>
    </xf>
    <xf numFmtId="0" fontId="14" fillId="0" borderId="0" xfId="0" applyFont="1" applyAlignment="1">
      <alignment horizontal="right"/>
    </xf>
    <xf numFmtId="0" fontId="14" fillId="0" borderId="0" xfId="0" applyFont="1"/>
    <xf numFmtId="166" fontId="14" fillId="0" borderId="0" xfId="0" applyNumberFormat="1" applyFont="1" applyAlignment="1">
      <alignment horizontal="right"/>
    </xf>
    <xf numFmtId="164" fontId="7" fillId="0" borderId="0" xfId="0" applyNumberFormat="1" applyFont="1" applyAlignment="1">
      <alignment horizontal="right"/>
    </xf>
    <xf numFmtId="0" fontId="8" fillId="0" borderId="0" xfId="0" applyFont="1"/>
    <xf numFmtId="164" fontId="8" fillId="0" borderId="0" xfId="0" applyNumberFormat="1" applyFont="1" applyAlignment="1">
      <alignment horizontal="right"/>
    </xf>
    <xf numFmtId="164" fontId="8" fillId="0" borderId="0" xfId="0" applyNumberFormat="1" applyFont="1"/>
    <xf numFmtId="164" fontId="6" fillId="0" borderId="0" xfId="0" applyNumberFormat="1" applyFont="1"/>
    <xf numFmtId="9" fontId="6" fillId="0" borderId="0" xfId="0" applyNumberFormat="1" applyFont="1"/>
    <xf numFmtId="164" fontId="14" fillId="0" borderId="0" xfId="0" applyNumberFormat="1" applyFont="1" applyAlignment="1">
      <alignment horizontal="right"/>
    </xf>
    <xf numFmtId="0" fontId="7" fillId="0" borderId="18" xfId="0" applyFont="1" applyBorder="1"/>
    <xf numFmtId="166" fontId="7" fillId="0" borderId="18" xfId="0" applyNumberFormat="1" applyFont="1" applyBorder="1"/>
    <xf numFmtId="0" fontId="7" fillId="0" borderId="18" xfId="0" applyFont="1" applyBorder="1" applyAlignment="1">
      <alignment horizontal="right"/>
    </xf>
    <xf numFmtId="167" fontId="7" fillId="0" borderId="18" xfId="0" applyNumberFormat="1" applyFont="1" applyBorder="1"/>
    <xf numFmtId="0" fontId="6" fillId="0" borderId="0" xfId="0" applyFont="1" applyAlignment="1">
      <alignment horizontal="right"/>
    </xf>
    <xf numFmtId="166" fontId="7" fillId="0" borderId="18" xfId="0" applyNumberFormat="1" applyFont="1" applyBorder="1" applyAlignment="1">
      <alignment horizontal="right"/>
    </xf>
    <xf numFmtId="166" fontId="14" fillId="0" borderId="0" xfId="0" applyNumberFormat="1" applyFont="1"/>
    <xf numFmtId="167" fontId="14" fillId="0" borderId="0" xfId="0" applyNumberFormat="1" applyFont="1"/>
    <xf numFmtId="164" fontId="7" fillId="0" borderId="18" xfId="0" applyNumberFormat="1" applyFont="1" applyBorder="1" applyAlignment="1">
      <alignment horizontal="right"/>
    </xf>
    <xf numFmtId="166" fontId="7" fillId="0" borderId="0" xfId="0" applyNumberFormat="1" applyFont="1"/>
    <xf numFmtId="168" fontId="14" fillId="0" borderId="0" xfId="0" applyNumberFormat="1" applyFont="1"/>
    <xf numFmtId="0" fontId="15" fillId="0" borderId="0" xfId="0" applyFont="1"/>
  </cellXfs>
  <cellStyles count="1">
    <cellStyle name="Normal" xfId="0" builtinId="0"/>
  </cellStyles>
  <dxfs count="5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66666"/>
          <bgColor rgb="FF666666"/>
        </patternFill>
      </fill>
    </dxf>
  </dxfs>
  <tableStyles count="2">
    <tableStyle name="Total-style" pivot="0" count="3" xr9:uid="{00000000-0011-0000-FFFF-FFFF00000000}">
      <tableStyleElement type="headerRow" dxfId="4"/>
      <tableStyleElement type="firstRowStripe" dxfId="3"/>
      <tableStyleElement type="secondRowStripe" dxfId="2"/>
    </tableStyle>
    <tableStyle name="Total-style 2" pivot="0" count="2" xr9:uid="{00000000-0011-0000-FFFF-FFFF01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customschemas.google.com/relationships/workbookmetadata" Target="meta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I16" headerRowCount="0">
  <tableColumns count="9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</tableColumns>
  <tableStyleInfo name="Total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E18:I28" headerRowCount="0">
  <tableColumns count="5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  <tableColumn id="5" xr3:uid="{00000000-0010-0000-0100-000005000000}" name="Column5"/>
  </tableColumns>
  <tableStyleInfo name="Total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Y1000"/>
  <sheetViews>
    <sheetView showGridLines="0" tabSelected="1" workbookViewId="0">
      <pane ySplit="1" topLeftCell="A2" activePane="bottomLeft" state="frozen"/>
      <selection pane="bottomLeft" activeCell="B3" sqref="B3"/>
    </sheetView>
  </sheetViews>
  <sheetFormatPr baseColWidth="10" defaultColWidth="11.1640625" defaultRowHeight="15" customHeight="1" x14ac:dyDescent="0.2"/>
  <cols>
    <col min="1" max="1" width="18.6640625" customWidth="1"/>
    <col min="2" max="2" width="11.83203125" customWidth="1"/>
    <col min="3" max="3" width="14.5" customWidth="1"/>
    <col min="4" max="4" width="12.83203125" customWidth="1"/>
    <col min="5" max="5" width="11.33203125" customWidth="1"/>
    <col min="6" max="6" width="14.6640625" customWidth="1"/>
    <col min="7" max="7" width="22" customWidth="1"/>
    <col min="9" max="9" width="68.5" customWidth="1"/>
    <col min="10" max="10" width="13.83203125" customWidth="1"/>
    <col min="11" max="11" width="18.5" customWidth="1"/>
    <col min="12" max="12" width="19" customWidth="1"/>
  </cols>
  <sheetData>
    <row r="1" spans="1:12" ht="16" x14ac:dyDescent="0.2">
      <c r="A1" s="1" t="s">
        <v>0</v>
      </c>
      <c r="B1" s="2"/>
      <c r="C1" s="2" t="s">
        <v>1</v>
      </c>
      <c r="D1" s="2" t="s">
        <v>2</v>
      </c>
      <c r="E1" s="2" t="s">
        <v>3</v>
      </c>
      <c r="F1" s="3" t="s">
        <v>4</v>
      </c>
      <c r="G1" s="4" t="s">
        <v>5</v>
      </c>
      <c r="H1" s="4" t="s">
        <v>6</v>
      </c>
      <c r="I1" s="5" t="s">
        <v>7</v>
      </c>
    </row>
    <row r="2" spans="1:12" ht="16" x14ac:dyDescent="0.2">
      <c r="A2" s="6" t="s">
        <v>8</v>
      </c>
      <c r="B2" s="7" t="s">
        <v>9</v>
      </c>
      <c r="C2" s="8">
        <f>'Karim Zein'!D120</f>
        <v>4187</v>
      </c>
      <c r="D2" s="9">
        <f>'Karim Zein'!E120</f>
        <v>293.59999999999991</v>
      </c>
      <c r="E2" s="9">
        <f>SUM(C2:D2)-250</f>
        <v>4230.6000000000004</v>
      </c>
      <c r="F2" s="10">
        <f t="shared" ref="F2:F16" si="0">ROUND(E2,0)</f>
        <v>4231</v>
      </c>
      <c r="G2" s="11" t="b">
        <v>1</v>
      </c>
      <c r="H2" s="11" t="b">
        <v>1</v>
      </c>
      <c r="I2" s="12"/>
      <c r="K2" s="13"/>
      <c r="L2" s="14"/>
    </row>
    <row r="3" spans="1:12" ht="16" x14ac:dyDescent="0.2">
      <c r="A3" s="6" t="s">
        <v>10</v>
      </c>
      <c r="B3" s="7" t="s">
        <v>9</v>
      </c>
      <c r="C3" s="8">
        <f>'Sara Assaf'!D77</f>
        <v>2435</v>
      </c>
      <c r="D3" s="9">
        <f>'Sara Assaf'!E77</f>
        <v>145.6</v>
      </c>
      <c r="E3" s="9">
        <f t="shared" ref="E3:E9" si="1">SUM(C3:D3)</f>
        <v>2580.6</v>
      </c>
      <c r="F3" s="10">
        <f t="shared" si="0"/>
        <v>2581</v>
      </c>
      <c r="G3" s="15" t="b">
        <v>1</v>
      </c>
      <c r="H3" s="16" t="b">
        <v>1</v>
      </c>
      <c r="I3" s="17"/>
      <c r="K3" s="13"/>
      <c r="L3" s="14"/>
    </row>
    <row r="4" spans="1:12" ht="16" x14ac:dyDescent="0.2">
      <c r="A4" s="6" t="s">
        <v>11</v>
      </c>
      <c r="B4" s="7" t="s">
        <v>12</v>
      </c>
      <c r="C4" s="8">
        <f>'Amusia Sukkar'!D23</f>
        <v>840</v>
      </c>
      <c r="D4" s="9">
        <f>'Amusia Sukkar'!E23</f>
        <v>78.400000000000006</v>
      </c>
      <c r="E4" s="9">
        <f t="shared" si="1"/>
        <v>918.4</v>
      </c>
      <c r="F4" s="10">
        <f t="shared" si="0"/>
        <v>918</v>
      </c>
      <c r="G4" s="15" t="b">
        <v>1</v>
      </c>
      <c r="H4" s="16" t="b">
        <v>1</v>
      </c>
      <c r="I4" s="17"/>
    </row>
    <row r="5" spans="1:12" ht="16" x14ac:dyDescent="0.2">
      <c r="A5" s="6" t="s">
        <v>13</v>
      </c>
      <c r="B5" s="7" t="s">
        <v>9</v>
      </c>
      <c r="C5" s="8">
        <f>'Joanne Skaff'!D48</f>
        <v>1395</v>
      </c>
      <c r="D5" s="9">
        <f>'Joanne Skaff'!E48</f>
        <v>115.20000000000005</v>
      </c>
      <c r="E5" s="9">
        <f t="shared" si="1"/>
        <v>1510.2</v>
      </c>
      <c r="F5" s="10">
        <f t="shared" si="0"/>
        <v>1510</v>
      </c>
      <c r="G5" s="15" t="b">
        <v>1</v>
      </c>
      <c r="H5" s="16" t="b">
        <v>1</v>
      </c>
      <c r="I5" s="17"/>
    </row>
    <row r="6" spans="1:12" ht="16" x14ac:dyDescent="0.2">
      <c r="A6" s="6" t="s">
        <v>14</v>
      </c>
      <c r="B6" s="7" t="s">
        <v>9</v>
      </c>
      <c r="C6" s="8">
        <f>'Ghenwa Bazzi'!D38</f>
        <v>1089</v>
      </c>
      <c r="D6" s="9">
        <f>'Ghenwa Bazzi'!E38</f>
        <v>60.800000000000004</v>
      </c>
      <c r="E6" s="9">
        <f t="shared" si="1"/>
        <v>1149.8</v>
      </c>
      <c r="F6" s="10">
        <f t="shared" si="0"/>
        <v>1150</v>
      </c>
      <c r="G6" s="18" t="b">
        <v>1</v>
      </c>
      <c r="H6" s="16" t="b">
        <v>1</v>
      </c>
      <c r="I6" s="19"/>
    </row>
    <row r="7" spans="1:12" ht="16" x14ac:dyDescent="0.2">
      <c r="A7" s="6" t="s">
        <v>15</v>
      </c>
      <c r="B7" s="7" t="s">
        <v>9</v>
      </c>
      <c r="C7" s="8">
        <f>'Sasha Rustom'!D20</f>
        <v>450</v>
      </c>
      <c r="D7" s="9">
        <f>'Sasha Rustom'!E20</f>
        <v>24</v>
      </c>
      <c r="E7" s="9">
        <f t="shared" si="1"/>
        <v>474</v>
      </c>
      <c r="F7" s="10">
        <f t="shared" si="0"/>
        <v>474</v>
      </c>
      <c r="G7" s="15" t="b">
        <v>1</v>
      </c>
      <c r="H7" s="16" t="b">
        <v>1</v>
      </c>
      <c r="I7" s="17"/>
    </row>
    <row r="8" spans="1:12" ht="16" x14ac:dyDescent="0.2">
      <c r="A8" s="20" t="s">
        <v>16</v>
      </c>
      <c r="B8" s="7" t="s">
        <v>9</v>
      </c>
      <c r="C8" s="21">
        <f>'Juliana Haddad'!D53</f>
        <v>1440</v>
      </c>
      <c r="D8" s="22">
        <f>'Juliana Haddad'!E53</f>
        <v>106.80000000000001</v>
      </c>
      <c r="E8" s="9">
        <f t="shared" si="1"/>
        <v>1546.8</v>
      </c>
      <c r="F8" s="10">
        <f t="shared" si="0"/>
        <v>1547</v>
      </c>
      <c r="G8" s="16" t="b">
        <v>1</v>
      </c>
      <c r="H8" s="16" t="b">
        <v>1</v>
      </c>
      <c r="I8" s="19"/>
    </row>
    <row r="9" spans="1:12" ht="16" x14ac:dyDescent="0.2">
      <c r="A9" s="20" t="s">
        <v>17</v>
      </c>
      <c r="B9" s="7" t="s">
        <v>12</v>
      </c>
      <c r="C9" s="21">
        <f>'Andrea Tambe'!D14</f>
        <v>350</v>
      </c>
      <c r="D9" s="22">
        <f>'Andrea Tambe'!E14</f>
        <v>20.8</v>
      </c>
      <c r="E9" s="9">
        <f t="shared" si="1"/>
        <v>370.8</v>
      </c>
      <c r="F9" s="10">
        <f t="shared" si="0"/>
        <v>371</v>
      </c>
      <c r="G9" s="15" t="b">
        <v>1</v>
      </c>
      <c r="H9" s="16" t="b">
        <v>1</v>
      </c>
      <c r="I9" s="17"/>
    </row>
    <row r="10" spans="1:12" ht="16" x14ac:dyDescent="0.2">
      <c r="A10" s="23" t="s">
        <v>18</v>
      </c>
      <c r="B10" s="7" t="s">
        <v>12</v>
      </c>
      <c r="C10" s="24">
        <f>'Niki Farnaz'!D20</f>
        <v>720</v>
      </c>
      <c r="D10" s="25">
        <f>'Niki Farnaz'!E20</f>
        <v>61.20000000000001</v>
      </c>
      <c r="E10" s="9">
        <f>SUM(C10:D10)-111</f>
        <v>670.2</v>
      </c>
      <c r="F10" s="10">
        <f t="shared" si="0"/>
        <v>670</v>
      </c>
      <c r="G10" s="16" t="b">
        <v>1</v>
      </c>
      <c r="H10" s="16" t="b">
        <v>1</v>
      </c>
      <c r="I10" s="17" t="s">
        <v>19</v>
      </c>
    </row>
    <row r="11" spans="1:12" ht="16" x14ac:dyDescent="0.2">
      <c r="A11" s="26" t="s">
        <v>20</v>
      </c>
      <c r="B11" s="27" t="s">
        <v>12</v>
      </c>
      <c r="C11" s="28">
        <f>'Yara Jabbour'!D12</f>
        <v>124</v>
      </c>
      <c r="D11" s="29">
        <f>'Yara Jabbour'!E12</f>
        <v>9.2000000000000011</v>
      </c>
      <c r="E11" s="9">
        <f t="shared" ref="E11:E16" si="2">SUM(C11:D11)</f>
        <v>133.19999999999999</v>
      </c>
      <c r="F11" s="10">
        <f t="shared" si="0"/>
        <v>133</v>
      </c>
      <c r="G11" s="16" t="b">
        <v>1</v>
      </c>
      <c r="H11" s="16" t="b">
        <v>1</v>
      </c>
      <c r="I11" s="12"/>
    </row>
    <row r="12" spans="1:12" ht="16" x14ac:dyDescent="0.2">
      <c r="A12" s="30" t="s">
        <v>21</v>
      </c>
      <c r="B12" s="27" t="s">
        <v>12</v>
      </c>
      <c r="C12" s="31">
        <f>'Aceel Jawad'!D33</f>
        <v>1050</v>
      </c>
      <c r="D12" s="31">
        <f>'Aceel Jawad'!E33</f>
        <v>100</v>
      </c>
      <c r="E12" s="9">
        <f t="shared" si="2"/>
        <v>1150</v>
      </c>
      <c r="F12" s="10">
        <f t="shared" si="0"/>
        <v>1150</v>
      </c>
      <c r="G12" s="16" t="b">
        <v>1</v>
      </c>
      <c r="H12" s="16" t="b">
        <v>1</v>
      </c>
      <c r="I12" s="12"/>
    </row>
    <row r="13" spans="1:12" ht="16" x14ac:dyDescent="0.2">
      <c r="A13" s="30" t="s">
        <v>22</v>
      </c>
      <c r="B13" s="27" t="s">
        <v>12</v>
      </c>
      <c r="C13" s="31">
        <f>'ClaraNour Bekhazi'!D24</f>
        <v>950</v>
      </c>
      <c r="D13" s="32">
        <v>0</v>
      </c>
      <c r="E13" s="9">
        <f t="shared" si="2"/>
        <v>950</v>
      </c>
      <c r="F13" s="10">
        <f t="shared" si="0"/>
        <v>950</v>
      </c>
      <c r="G13" s="16" t="b">
        <v>1</v>
      </c>
      <c r="H13" s="16" t="b">
        <v>1</v>
      </c>
      <c r="I13" s="12"/>
    </row>
    <row r="14" spans="1:12" ht="16" x14ac:dyDescent="0.2">
      <c r="A14" s="30" t="s">
        <v>23</v>
      </c>
      <c r="B14" s="27" t="s">
        <v>12</v>
      </c>
      <c r="C14" s="31">
        <f>'Gise Rodriguez'!D2</f>
        <v>40</v>
      </c>
      <c r="D14" s="31">
        <f>'Gise Rodriguez'!E2</f>
        <v>4</v>
      </c>
      <c r="E14" s="9">
        <f t="shared" si="2"/>
        <v>44</v>
      </c>
      <c r="F14" s="10">
        <f t="shared" si="0"/>
        <v>44</v>
      </c>
      <c r="G14" s="16" t="b">
        <v>1</v>
      </c>
      <c r="H14" s="16" t="b">
        <v>1</v>
      </c>
      <c r="I14" s="12"/>
    </row>
    <row r="15" spans="1:12" ht="16" x14ac:dyDescent="0.2">
      <c r="A15" s="30" t="s">
        <v>24</v>
      </c>
      <c r="B15" s="27" t="s">
        <v>9</v>
      </c>
      <c r="C15" s="31">
        <f>'Mayssa Takieddine'!D6</f>
        <v>120</v>
      </c>
      <c r="D15" s="32">
        <f>'Mayssa Takieddine'!E6</f>
        <v>8.0000000000000018</v>
      </c>
      <c r="E15" s="9">
        <f t="shared" si="2"/>
        <v>128</v>
      </c>
      <c r="F15" s="10">
        <f t="shared" si="0"/>
        <v>128</v>
      </c>
      <c r="G15" s="16" t="b">
        <v>1</v>
      </c>
      <c r="H15" s="16" t="b">
        <v>1</v>
      </c>
      <c r="I15" s="33"/>
    </row>
    <row r="16" spans="1:12" ht="16" x14ac:dyDescent="0.2">
      <c r="A16" s="30" t="s">
        <v>25</v>
      </c>
      <c r="B16" s="27" t="s">
        <v>9</v>
      </c>
      <c r="C16" s="31">
        <f>'Laura Tannous'!D10</f>
        <v>216</v>
      </c>
      <c r="D16" s="31">
        <f>'Laura Tannous'!E10</f>
        <v>10</v>
      </c>
      <c r="E16" s="9">
        <f t="shared" si="2"/>
        <v>226</v>
      </c>
      <c r="F16" s="10">
        <f t="shared" si="0"/>
        <v>226</v>
      </c>
      <c r="G16" s="16" t="b">
        <v>1</v>
      </c>
      <c r="H16" s="16" t="b">
        <v>1</v>
      </c>
      <c r="I16" s="33"/>
    </row>
    <row r="17" spans="1:25" ht="16" x14ac:dyDescent="0.2">
      <c r="A17" s="34" t="s">
        <v>26</v>
      </c>
      <c r="B17" s="35"/>
      <c r="C17" s="36">
        <f t="shared" ref="C17:D17" si="3">SUM(C2:C16)</f>
        <v>15406</v>
      </c>
      <c r="D17" s="36">
        <f t="shared" si="3"/>
        <v>1037.5999999999999</v>
      </c>
      <c r="E17" s="36"/>
      <c r="F17" s="36">
        <f>SUM(F2:F16)</f>
        <v>16083</v>
      </c>
      <c r="G17" s="37" t="s">
        <v>7</v>
      </c>
      <c r="H17" s="37"/>
      <c r="I17" s="13"/>
      <c r="J17" s="13"/>
      <c r="K17" s="38"/>
      <c r="L17" s="38"/>
    </row>
    <row r="18" spans="1:25" ht="15.75" customHeight="1" x14ac:dyDescent="0.2">
      <c r="A18" s="39" t="s">
        <v>27</v>
      </c>
      <c r="B18" s="39" t="s">
        <v>28</v>
      </c>
      <c r="C18" s="40" t="s">
        <v>7</v>
      </c>
      <c r="D18" s="40" t="s">
        <v>29</v>
      </c>
      <c r="E18" s="15"/>
      <c r="F18" s="16"/>
      <c r="G18" s="41"/>
      <c r="H18" s="41"/>
      <c r="I18" s="41"/>
      <c r="J18" s="13"/>
      <c r="K18" s="38"/>
    </row>
    <row r="19" spans="1:25" ht="15.75" customHeight="1" x14ac:dyDescent="0.2">
      <c r="A19" s="37" t="s">
        <v>30</v>
      </c>
      <c r="B19" s="42" t="s">
        <v>31</v>
      </c>
      <c r="C19" s="43"/>
      <c r="D19" s="44">
        <v>595</v>
      </c>
      <c r="E19" s="45" t="b">
        <v>1</v>
      </c>
      <c r="F19" s="46" t="b">
        <v>1</v>
      </c>
      <c r="G19" s="47"/>
      <c r="H19" s="47"/>
      <c r="I19" s="47" t="s">
        <v>32</v>
      </c>
      <c r="J19" s="13"/>
    </row>
    <row r="20" spans="1:25" ht="15.75" customHeight="1" x14ac:dyDescent="0.2">
      <c r="A20" s="37" t="s">
        <v>33</v>
      </c>
      <c r="B20" s="42" t="s">
        <v>34</v>
      </c>
      <c r="C20" s="48">
        <v>408</v>
      </c>
      <c r="D20" s="44">
        <f>1500+C20</f>
        <v>1908</v>
      </c>
      <c r="E20" s="15" t="b">
        <v>1</v>
      </c>
      <c r="F20" s="15" t="b">
        <v>1</v>
      </c>
      <c r="G20" s="47"/>
      <c r="H20" s="47"/>
      <c r="I20" s="47"/>
    </row>
    <row r="21" spans="1:25" ht="15.75" customHeight="1" x14ac:dyDescent="0.2">
      <c r="A21" s="37" t="s">
        <v>35</v>
      </c>
      <c r="B21" s="42" t="s">
        <v>31</v>
      </c>
      <c r="C21" s="48">
        <v>8.0399999999999991</v>
      </c>
      <c r="D21" s="44">
        <f>700+C21</f>
        <v>708.04</v>
      </c>
      <c r="E21" s="16" t="b">
        <v>1</v>
      </c>
      <c r="F21" s="16" t="b">
        <v>1</v>
      </c>
      <c r="G21" s="41"/>
      <c r="H21" s="41"/>
      <c r="I21" s="41"/>
    </row>
    <row r="22" spans="1:25" ht="15.75" customHeight="1" x14ac:dyDescent="0.2">
      <c r="A22" s="37" t="s">
        <v>36</v>
      </c>
      <c r="B22" s="42" t="s">
        <v>37</v>
      </c>
      <c r="C22" s="43"/>
      <c r="D22" s="44">
        <v>5000</v>
      </c>
      <c r="E22" s="15" t="b">
        <v>1</v>
      </c>
      <c r="F22" s="15" t="b">
        <v>1</v>
      </c>
      <c r="G22" s="47"/>
      <c r="H22" s="47"/>
      <c r="I22" s="47"/>
    </row>
    <row r="23" spans="1:25" ht="15.75" customHeight="1" x14ac:dyDescent="0.2">
      <c r="A23" s="37" t="s">
        <v>38</v>
      </c>
      <c r="B23" s="42" t="s">
        <v>37</v>
      </c>
      <c r="C23" s="43"/>
      <c r="D23" s="44">
        <v>5000</v>
      </c>
      <c r="E23" s="18" t="b">
        <v>1</v>
      </c>
      <c r="F23" s="16" t="b">
        <v>1</v>
      </c>
      <c r="G23" s="41"/>
      <c r="H23" s="41"/>
      <c r="I23" s="41"/>
    </row>
    <row r="24" spans="1:25" ht="15.75" customHeight="1" x14ac:dyDescent="0.2">
      <c r="A24" s="37" t="s">
        <v>39</v>
      </c>
      <c r="B24" s="42" t="s">
        <v>40</v>
      </c>
      <c r="C24" s="44"/>
      <c r="D24" s="44">
        <v>2070</v>
      </c>
      <c r="E24" s="18" t="b">
        <v>1</v>
      </c>
      <c r="F24" s="16" t="b">
        <v>1</v>
      </c>
      <c r="G24" s="49"/>
      <c r="H24" s="49"/>
      <c r="I24" s="49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</row>
    <row r="25" spans="1:25" ht="15.75" customHeight="1" x14ac:dyDescent="0.2">
      <c r="A25" s="51" t="s">
        <v>41</v>
      </c>
      <c r="B25" s="42" t="s">
        <v>42</v>
      </c>
      <c r="C25" s="43"/>
      <c r="D25" s="44">
        <v>200</v>
      </c>
      <c r="E25" s="18" t="b">
        <v>1</v>
      </c>
      <c r="F25" s="16" t="b">
        <v>1</v>
      </c>
      <c r="G25" s="41"/>
      <c r="H25" s="52"/>
      <c r="I25" s="41"/>
    </row>
    <row r="26" spans="1:25" ht="15.75" customHeight="1" x14ac:dyDescent="0.2">
      <c r="A26" s="37" t="s">
        <v>43</v>
      </c>
      <c r="B26" s="42" t="s">
        <v>44</v>
      </c>
      <c r="C26" s="53" t="s">
        <v>45</v>
      </c>
      <c r="D26" s="44">
        <v>42.39</v>
      </c>
      <c r="E26" s="16" t="b">
        <v>1</v>
      </c>
      <c r="F26" s="15" t="b">
        <v>1</v>
      </c>
      <c r="G26" s="41"/>
      <c r="H26" s="52"/>
      <c r="I26" s="41"/>
    </row>
    <row r="27" spans="1:25" ht="15.75" customHeight="1" x14ac:dyDescent="0.2">
      <c r="A27" s="51" t="s">
        <v>46</v>
      </c>
      <c r="B27" s="42" t="s">
        <v>44</v>
      </c>
      <c r="C27" s="53" t="s">
        <v>45</v>
      </c>
      <c r="D27" s="44">
        <v>42.39</v>
      </c>
      <c r="E27" s="45" t="b">
        <v>1</v>
      </c>
      <c r="F27" s="45" t="b">
        <v>1</v>
      </c>
      <c r="G27" s="41"/>
      <c r="H27" s="52"/>
      <c r="I27" s="41"/>
    </row>
    <row r="28" spans="1:25" ht="15.75" customHeight="1" x14ac:dyDescent="0.2">
      <c r="A28" s="51" t="s">
        <v>47</v>
      </c>
      <c r="B28" s="42" t="s">
        <v>48</v>
      </c>
      <c r="C28" s="53" t="s">
        <v>49</v>
      </c>
      <c r="D28" s="44">
        <v>725.81</v>
      </c>
      <c r="E28" s="45" t="b">
        <v>1</v>
      </c>
      <c r="F28" s="45" t="b">
        <v>1</v>
      </c>
      <c r="G28" s="41"/>
      <c r="H28" s="52"/>
      <c r="I28" s="41"/>
    </row>
    <row r="29" spans="1:25" ht="15.75" customHeight="1" x14ac:dyDescent="0.2">
      <c r="A29" s="34" t="s">
        <v>50</v>
      </c>
      <c r="B29" s="35"/>
      <c r="C29" s="35"/>
      <c r="D29" s="54">
        <f>SUM(D19:D28)</f>
        <v>16291.63</v>
      </c>
      <c r="E29" s="13"/>
      <c r="F29" s="55"/>
      <c r="I29" s="56"/>
    </row>
    <row r="30" spans="1:25" ht="15.75" customHeight="1" x14ac:dyDescent="0.2">
      <c r="E30" s="13"/>
      <c r="I30" s="56"/>
    </row>
    <row r="31" spans="1:25" ht="15.75" customHeight="1" x14ac:dyDescent="0.2">
      <c r="A31" s="57" t="s">
        <v>51</v>
      </c>
      <c r="B31" s="58"/>
      <c r="C31" s="58"/>
      <c r="D31" s="59">
        <f>F17+D29</f>
        <v>32374.629999999997</v>
      </c>
      <c r="G31" s="13" t="s">
        <v>52</v>
      </c>
      <c r="I31" s="60"/>
    </row>
    <row r="32" spans="1:25" ht="15.75" customHeight="1" x14ac:dyDescent="0.2"/>
    <row r="33" spans="2:3" ht="15.75" customHeight="1" x14ac:dyDescent="0.2"/>
    <row r="34" spans="2:3" ht="15.75" customHeight="1" x14ac:dyDescent="0.2">
      <c r="B34" s="13"/>
      <c r="C34" s="61"/>
    </row>
    <row r="35" spans="2:3" ht="15.75" customHeight="1" x14ac:dyDescent="0.2">
      <c r="B35" s="13"/>
      <c r="C35" s="61"/>
    </row>
    <row r="36" spans="2:3" ht="15.75" customHeight="1" x14ac:dyDescent="0.2"/>
    <row r="37" spans="2:3" ht="15.75" customHeight="1" x14ac:dyDescent="0.2">
      <c r="B37" s="13"/>
      <c r="C37" s="60"/>
    </row>
    <row r="38" spans="2:3" ht="15.75" customHeight="1" x14ac:dyDescent="0.2"/>
    <row r="39" spans="2:3" ht="15.75" customHeight="1" x14ac:dyDescent="0.2"/>
    <row r="40" spans="2:3" ht="15.75" customHeight="1" x14ac:dyDescent="0.2"/>
    <row r="41" spans="2:3" ht="15.75" customHeight="1" x14ac:dyDescent="0.2"/>
    <row r="42" spans="2:3" ht="15.75" customHeight="1" x14ac:dyDescent="0.2"/>
    <row r="43" spans="2:3" ht="15.75" customHeight="1" x14ac:dyDescent="0.2"/>
    <row r="44" spans="2:3" ht="15.75" customHeight="1" x14ac:dyDescent="0.2"/>
    <row r="45" spans="2:3" ht="15.75" customHeight="1" x14ac:dyDescent="0.2"/>
    <row r="46" spans="2:3" ht="15.75" customHeight="1" x14ac:dyDescent="0.2"/>
    <row r="47" spans="2:3" ht="15.75" customHeight="1" x14ac:dyDescent="0.2"/>
    <row r="48" spans="2:3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rintOptions horizontalCentered="1" gridLines="1"/>
  <pageMargins left="0.7" right="0.7" top="0.75" bottom="0.75" header="0" footer="0"/>
  <pageSetup fitToHeight="0" pageOrder="overThenDown" orientation="landscape" cellComments="atEnd"/>
  <legacyDrawing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991"/>
  <sheetViews>
    <sheetView workbookViewId="0"/>
  </sheetViews>
  <sheetFormatPr baseColWidth="10" defaultColWidth="11.1640625" defaultRowHeight="15" customHeight="1" x14ac:dyDescent="0.2"/>
  <cols>
    <col min="2" max="2" width="16.1640625" customWidth="1"/>
  </cols>
  <sheetData>
    <row r="1" spans="1:6" ht="16" x14ac:dyDescent="0.2">
      <c r="A1" s="62" t="s">
        <v>53</v>
      </c>
      <c r="B1" s="63" t="s">
        <v>54</v>
      </c>
      <c r="C1" s="62" t="s">
        <v>55</v>
      </c>
      <c r="D1" s="62" t="s">
        <v>29</v>
      </c>
      <c r="E1" s="62" t="s">
        <v>56</v>
      </c>
    </row>
    <row r="2" spans="1:6" ht="16" x14ac:dyDescent="0.2">
      <c r="A2" s="64" t="s">
        <v>57</v>
      </c>
      <c r="B2" s="65">
        <v>46204.333333333336</v>
      </c>
      <c r="C2" s="63">
        <v>9</v>
      </c>
      <c r="D2" s="63">
        <v>40</v>
      </c>
      <c r="E2" s="66">
        <f t="shared" ref="E2:E19" si="0">C2*$B$24*$C$24</f>
        <v>3.6</v>
      </c>
      <c r="F2" s="66"/>
    </row>
    <row r="3" spans="1:6" ht="16" x14ac:dyDescent="0.2">
      <c r="A3" s="64" t="s">
        <v>58</v>
      </c>
      <c r="B3" s="65">
        <v>46204.375</v>
      </c>
      <c r="C3" s="63">
        <v>10</v>
      </c>
      <c r="D3" s="63">
        <v>40</v>
      </c>
      <c r="E3" s="66">
        <f t="shared" si="0"/>
        <v>4</v>
      </c>
      <c r="F3" s="66"/>
    </row>
    <row r="4" spans="1:6" ht="16" x14ac:dyDescent="0.2">
      <c r="A4" s="64" t="s">
        <v>57</v>
      </c>
      <c r="B4" s="65">
        <v>46357.458333333336</v>
      </c>
      <c r="C4" s="63">
        <v>6</v>
      </c>
      <c r="D4" s="63">
        <v>40</v>
      </c>
      <c r="E4" s="66">
        <f t="shared" si="0"/>
        <v>2.4</v>
      </c>
      <c r="F4" s="66"/>
    </row>
    <row r="5" spans="1:6" ht="16" x14ac:dyDescent="0.2">
      <c r="A5" s="64" t="s">
        <v>57</v>
      </c>
      <c r="B5" s="65">
        <v>46357.5</v>
      </c>
      <c r="C5" s="63">
        <v>7</v>
      </c>
      <c r="D5" s="63">
        <v>40</v>
      </c>
      <c r="E5" s="66">
        <f t="shared" si="0"/>
        <v>2.8000000000000003</v>
      </c>
      <c r="F5" s="66"/>
    </row>
    <row r="6" spans="1:6" ht="16" x14ac:dyDescent="0.2">
      <c r="A6" s="64" t="s">
        <v>59</v>
      </c>
      <c r="B6" s="63" t="s">
        <v>60</v>
      </c>
      <c r="C6" s="63">
        <v>9</v>
      </c>
      <c r="D6" s="63">
        <v>40</v>
      </c>
      <c r="E6" s="66">
        <f t="shared" si="0"/>
        <v>3.6</v>
      </c>
      <c r="F6" s="66"/>
    </row>
    <row r="7" spans="1:6" ht="16" x14ac:dyDescent="0.2">
      <c r="A7" s="64" t="s">
        <v>58</v>
      </c>
      <c r="B7" s="63" t="s">
        <v>61</v>
      </c>
      <c r="C7" s="63">
        <v>7</v>
      </c>
      <c r="D7" s="63">
        <v>40</v>
      </c>
      <c r="E7" s="66">
        <f t="shared" si="0"/>
        <v>2.8000000000000003</v>
      </c>
      <c r="F7" s="66"/>
    </row>
    <row r="8" spans="1:6" ht="16" x14ac:dyDescent="0.2">
      <c r="A8" s="64" t="s">
        <v>57</v>
      </c>
      <c r="B8" s="63" t="s">
        <v>62</v>
      </c>
      <c r="C8" s="63">
        <v>8</v>
      </c>
      <c r="D8" s="63">
        <v>40</v>
      </c>
      <c r="E8" s="66">
        <f t="shared" si="0"/>
        <v>3.2</v>
      </c>
      <c r="F8" s="66"/>
    </row>
    <row r="9" spans="1:6" ht="16" x14ac:dyDescent="0.2">
      <c r="A9" s="64" t="s">
        <v>58</v>
      </c>
      <c r="B9" s="63" t="s">
        <v>63</v>
      </c>
      <c r="C9" s="63">
        <v>11</v>
      </c>
      <c r="D9" s="63">
        <v>40</v>
      </c>
      <c r="E9" s="66">
        <f t="shared" si="0"/>
        <v>4.4000000000000004</v>
      </c>
      <c r="F9" s="66"/>
    </row>
    <row r="10" spans="1:6" ht="16" x14ac:dyDescent="0.2">
      <c r="A10" s="64" t="s">
        <v>57</v>
      </c>
      <c r="B10" s="63" t="s">
        <v>64</v>
      </c>
      <c r="C10" s="63">
        <v>7</v>
      </c>
      <c r="D10" s="63">
        <v>40</v>
      </c>
      <c r="E10" s="66">
        <f t="shared" si="0"/>
        <v>2.8000000000000003</v>
      </c>
      <c r="F10" s="66"/>
    </row>
    <row r="11" spans="1:6" ht="16" x14ac:dyDescent="0.2">
      <c r="A11" s="64" t="s">
        <v>57</v>
      </c>
      <c r="B11" s="63" t="s">
        <v>65</v>
      </c>
      <c r="C11" s="63">
        <v>10</v>
      </c>
      <c r="D11" s="63">
        <v>40</v>
      </c>
      <c r="E11" s="66">
        <f t="shared" si="0"/>
        <v>4</v>
      </c>
      <c r="F11" s="66"/>
    </row>
    <row r="12" spans="1:6" ht="16" x14ac:dyDescent="0.2">
      <c r="A12" s="64" t="s">
        <v>66</v>
      </c>
      <c r="B12" s="63" t="s">
        <v>67</v>
      </c>
      <c r="C12" s="63">
        <v>10</v>
      </c>
      <c r="D12" s="63">
        <v>40</v>
      </c>
      <c r="E12" s="66">
        <f t="shared" si="0"/>
        <v>4</v>
      </c>
      <c r="F12" s="66"/>
    </row>
    <row r="13" spans="1:6" ht="16" x14ac:dyDescent="0.2">
      <c r="A13" s="64" t="s">
        <v>58</v>
      </c>
      <c r="B13" s="63" t="s">
        <v>68</v>
      </c>
      <c r="C13" s="63">
        <v>10</v>
      </c>
      <c r="D13" s="63">
        <v>40</v>
      </c>
      <c r="E13" s="66">
        <f t="shared" si="0"/>
        <v>4</v>
      </c>
      <c r="F13" s="66"/>
    </row>
    <row r="14" spans="1:6" ht="16" x14ac:dyDescent="0.2">
      <c r="A14" s="64" t="s">
        <v>57</v>
      </c>
      <c r="B14" s="63" t="s">
        <v>69</v>
      </c>
      <c r="C14" s="63">
        <v>4</v>
      </c>
      <c r="D14" s="63">
        <v>40</v>
      </c>
      <c r="E14" s="66">
        <f t="shared" si="0"/>
        <v>1.6</v>
      </c>
      <c r="F14" s="66"/>
    </row>
    <row r="15" spans="1:6" ht="16" x14ac:dyDescent="0.2">
      <c r="A15" s="64" t="s">
        <v>57</v>
      </c>
      <c r="B15" s="63" t="s">
        <v>70</v>
      </c>
      <c r="C15" s="63">
        <v>10</v>
      </c>
      <c r="D15" s="63">
        <v>40</v>
      </c>
      <c r="E15" s="66">
        <f t="shared" si="0"/>
        <v>4</v>
      </c>
      <c r="F15" s="66"/>
    </row>
    <row r="16" spans="1:6" ht="16" x14ac:dyDescent="0.2">
      <c r="A16" s="64" t="s">
        <v>57</v>
      </c>
      <c r="B16" s="63" t="s">
        <v>71</v>
      </c>
      <c r="C16" s="63">
        <v>9</v>
      </c>
      <c r="D16" s="63">
        <v>40</v>
      </c>
      <c r="E16" s="66">
        <f t="shared" si="0"/>
        <v>3.6</v>
      </c>
      <c r="F16" s="66"/>
    </row>
    <row r="17" spans="1:6" ht="16" x14ac:dyDescent="0.2">
      <c r="A17" s="64" t="s">
        <v>57</v>
      </c>
      <c r="B17" s="63" t="s">
        <v>72</v>
      </c>
      <c r="C17" s="63">
        <v>10</v>
      </c>
      <c r="D17" s="63">
        <v>40</v>
      </c>
      <c r="E17" s="66">
        <f t="shared" si="0"/>
        <v>4</v>
      </c>
      <c r="F17" s="66"/>
    </row>
    <row r="18" spans="1:6" ht="16" x14ac:dyDescent="0.2">
      <c r="A18" s="64" t="s">
        <v>57</v>
      </c>
      <c r="B18" s="63" t="s">
        <v>73</v>
      </c>
      <c r="C18" s="63">
        <v>10</v>
      </c>
      <c r="D18" s="63">
        <v>40</v>
      </c>
      <c r="E18" s="66">
        <f t="shared" si="0"/>
        <v>4</v>
      </c>
      <c r="F18" s="66"/>
    </row>
    <row r="19" spans="1:6" ht="16" x14ac:dyDescent="0.2">
      <c r="A19" s="64" t="s">
        <v>58</v>
      </c>
      <c r="B19" s="63" t="s">
        <v>74</v>
      </c>
      <c r="C19" s="63">
        <v>6</v>
      </c>
      <c r="D19" s="63">
        <v>40</v>
      </c>
      <c r="E19" s="66">
        <f t="shared" si="0"/>
        <v>2.4</v>
      </c>
      <c r="F19" s="66"/>
    </row>
    <row r="20" spans="1:6" ht="15.75" customHeight="1" x14ac:dyDescent="0.2">
      <c r="B20" s="67" t="s">
        <v>3</v>
      </c>
      <c r="C20" s="67">
        <f t="shared" ref="C20:E20" si="1">SUM(C2:C19)</f>
        <v>153</v>
      </c>
      <c r="D20" s="68">
        <f t="shared" si="1"/>
        <v>720</v>
      </c>
      <c r="E20" s="69">
        <f t="shared" si="1"/>
        <v>61.20000000000001</v>
      </c>
    </row>
    <row r="21" spans="1:6" ht="15.75" customHeight="1" x14ac:dyDescent="0.2"/>
    <row r="22" spans="1:6" ht="15.75" customHeight="1" x14ac:dyDescent="0.2"/>
    <row r="23" spans="1:6" ht="15.75" customHeight="1" x14ac:dyDescent="0.2"/>
    <row r="24" spans="1:6" ht="15.75" customHeight="1" x14ac:dyDescent="0.2">
      <c r="A24" s="50" t="s">
        <v>2</v>
      </c>
      <c r="B24" s="70">
        <v>20</v>
      </c>
      <c r="C24" s="71">
        <v>0.02</v>
      </c>
    </row>
    <row r="25" spans="1:6" ht="15.75" customHeight="1" x14ac:dyDescent="0.2"/>
    <row r="26" spans="1:6" ht="15.75" customHeight="1" x14ac:dyDescent="0.2"/>
    <row r="27" spans="1:6" ht="15.75" customHeight="1" x14ac:dyDescent="0.2"/>
    <row r="28" spans="1:6" ht="15.75" customHeight="1" x14ac:dyDescent="0.2"/>
    <row r="29" spans="1:6" ht="15.75" customHeight="1" x14ac:dyDescent="0.2"/>
    <row r="30" spans="1:6" ht="15.75" customHeight="1" x14ac:dyDescent="0.2"/>
    <row r="31" spans="1:6" ht="15.75" customHeight="1" x14ac:dyDescent="0.2"/>
    <row r="32" spans="1:6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986"/>
  <sheetViews>
    <sheetView workbookViewId="0"/>
  </sheetViews>
  <sheetFormatPr baseColWidth="10" defaultColWidth="11.1640625" defaultRowHeight="15" customHeight="1" x14ac:dyDescent="0.2"/>
  <sheetData>
    <row r="1" spans="1:5" ht="16" x14ac:dyDescent="0.2">
      <c r="A1" s="62" t="s">
        <v>53</v>
      </c>
      <c r="B1" s="63" t="s">
        <v>54</v>
      </c>
      <c r="C1" s="62" t="s">
        <v>55</v>
      </c>
      <c r="D1" s="62" t="s">
        <v>29</v>
      </c>
      <c r="E1" s="62" t="s">
        <v>56</v>
      </c>
    </row>
    <row r="2" spans="1:5" ht="16" x14ac:dyDescent="0.2">
      <c r="A2" s="63" t="s">
        <v>75</v>
      </c>
      <c r="B2" s="65">
        <v>46204.75</v>
      </c>
      <c r="C2" s="63">
        <v>12</v>
      </c>
      <c r="D2" s="72">
        <v>40</v>
      </c>
      <c r="E2" s="66">
        <f t="shared" ref="E2:E22" si="0">C2*$B$27*$C$27</f>
        <v>4.8</v>
      </c>
    </row>
    <row r="3" spans="1:5" ht="16" x14ac:dyDescent="0.2">
      <c r="A3" s="63" t="s">
        <v>76</v>
      </c>
      <c r="B3" s="65">
        <v>46204.791666666664</v>
      </c>
      <c r="C3" s="63">
        <v>12</v>
      </c>
      <c r="D3" s="72">
        <v>40</v>
      </c>
      <c r="E3" s="66">
        <f t="shared" si="0"/>
        <v>4.8</v>
      </c>
    </row>
    <row r="4" spans="1:5" ht="16" x14ac:dyDescent="0.2">
      <c r="A4" s="63" t="s">
        <v>75</v>
      </c>
      <c r="B4" s="65">
        <v>46204.833333333336</v>
      </c>
      <c r="C4" s="63">
        <v>10</v>
      </c>
      <c r="D4" s="72">
        <v>40</v>
      </c>
      <c r="E4" s="66">
        <f t="shared" si="0"/>
        <v>4</v>
      </c>
    </row>
    <row r="5" spans="1:5" ht="16" x14ac:dyDescent="0.2">
      <c r="A5" s="63" t="s">
        <v>76</v>
      </c>
      <c r="B5" s="65">
        <v>46296.375</v>
      </c>
      <c r="C5" s="63">
        <v>8</v>
      </c>
      <c r="D5" s="72">
        <v>40</v>
      </c>
      <c r="E5" s="66">
        <f t="shared" si="0"/>
        <v>3.2</v>
      </c>
    </row>
    <row r="6" spans="1:5" ht="16" x14ac:dyDescent="0.2">
      <c r="A6" s="63" t="s">
        <v>75</v>
      </c>
      <c r="B6" s="65">
        <v>46296.416666666664</v>
      </c>
      <c r="C6" s="63">
        <v>8</v>
      </c>
      <c r="D6" s="72">
        <v>40</v>
      </c>
      <c r="E6" s="66">
        <f t="shared" si="0"/>
        <v>3.2</v>
      </c>
    </row>
    <row r="7" spans="1:5" ht="16" x14ac:dyDescent="0.2">
      <c r="A7" s="63" t="s">
        <v>75</v>
      </c>
      <c r="B7" s="63" t="s">
        <v>77</v>
      </c>
      <c r="C7" s="63">
        <v>10</v>
      </c>
      <c r="D7" s="72">
        <v>40</v>
      </c>
      <c r="E7" s="66">
        <f t="shared" si="0"/>
        <v>4</v>
      </c>
    </row>
    <row r="8" spans="1:5" ht="16" x14ac:dyDescent="0.2">
      <c r="A8" s="63" t="s">
        <v>75</v>
      </c>
      <c r="B8" s="63" t="s">
        <v>78</v>
      </c>
      <c r="C8" s="63">
        <v>9</v>
      </c>
      <c r="D8" s="72">
        <v>40</v>
      </c>
      <c r="E8" s="66">
        <f t="shared" si="0"/>
        <v>3.6</v>
      </c>
    </row>
    <row r="9" spans="1:5" ht="16" x14ac:dyDescent="0.2">
      <c r="A9" s="63" t="s">
        <v>76</v>
      </c>
      <c r="B9" s="63" t="s">
        <v>79</v>
      </c>
      <c r="C9" s="63">
        <v>9</v>
      </c>
      <c r="D9" s="72">
        <v>40</v>
      </c>
      <c r="E9" s="66">
        <f t="shared" si="0"/>
        <v>3.6</v>
      </c>
    </row>
    <row r="10" spans="1:5" ht="16" x14ac:dyDescent="0.2">
      <c r="A10" s="63" t="s">
        <v>75</v>
      </c>
      <c r="B10" s="63" t="s">
        <v>80</v>
      </c>
      <c r="C10" s="63">
        <v>5</v>
      </c>
      <c r="D10" s="72">
        <v>40</v>
      </c>
      <c r="E10" s="66">
        <f t="shared" si="0"/>
        <v>2</v>
      </c>
    </row>
    <row r="11" spans="1:5" ht="16" x14ac:dyDescent="0.2">
      <c r="A11" s="63" t="s">
        <v>75</v>
      </c>
      <c r="B11" s="63" t="s">
        <v>81</v>
      </c>
      <c r="C11" s="63">
        <v>10</v>
      </c>
      <c r="D11" s="72">
        <v>40</v>
      </c>
      <c r="E11" s="66">
        <f t="shared" si="0"/>
        <v>4</v>
      </c>
    </row>
    <row r="12" spans="1:5" ht="16" x14ac:dyDescent="0.2">
      <c r="A12" s="63" t="s">
        <v>75</v>
      </c>
      <c r="B12" s="63" t="s">
        <v>82</v>
      </c>
      <c r="C12" s="63">
        <v>11</v>
      </c>
      <c r="D12" s="72">
        <v>40</v>
      </c>
      <c r="E12" s="66">
        <f t="shared" si="0"/>
        <v>4.4000000000000004</v>
      </c>
    </row>
    <row r="13" spans="1:5" ht="16" x14ac:dyDescent="0.2">
      <c r="A13" s="63" t="s">
        <v>75</v>
      </c>
      <c r="B13" s="63" t="s">
        <v>83</v>
      </c>
      <c r="C13" s="63">
        <v>8</v>
      </c>
      <c r="D13" s="72">
        <v>40</v>
      </c>
      <c r="E13" s="66">
        <f t="shared" si="0"/>
        <v>3.2</v>
      </c>
    </row>
    <row r="14" spans="1:5" ht="16" x14ac:dyDescent="0.2">
      <c r="A14" s="63" t="s">
        <v>75</v>
      </c>
      <c r="B14" s="63" t="s">
        <v>84</v>
      </c>
      <c r="C14" s="63">
        <v>9</v>
      </c>
      <c r="D14" s="72">
        <v>40</v>
      </c>
      <c r="E14" s="66">
        <f t="shared" si="0"/>
        <v>3.6</v>
      </c>
    </row>
    <row r="15" spans="1:5" ht="16" x14ac:dyDescent="0.2">
      <c r="A15" s="63" t="s">
        <v>75</v>
      </c>
      <c r="B15" s="63" t="s">
        <v>85</v>
      </c>
      <c r="C15" s="63">
        <v>8</v>
      </c>
      <c r="D15" s="72">
        <v>40</v>
      </c>
      <c r="E15" s="66">
        <f t="shared" si="0"/>
        <v>3.2</v>
      </c>
    </row>
    <row r="16" spans="1:5" ht="16" x14ac:dyDescent="0.2">
      <c r="A16" s="63" t="s">
        <v>75</v>
      </c>
      <c r="B16" s="63" t="s">
        <v>86</v>
      </c>
      <c r="C16" s="63">
        <v>9</v>
      </c>
      <c r="D16" s="72">
        <v>40</v>
      </c>
      <c r="E16" s="66">
        <f t="shared" si="0"/>
        <v>3.6</v>
      </c>
    </row>
    <row r="17" spans="1:5" ht="16" x14ac:dyDescent="0.2">
      <c r="A17" s="63" t="s">
        <v>76</v>
      </c>
      <c r="B17" s="63" t="s">
        <v>87</v>
      </c>
      <c r="C17" s="63">
        <v>10</v>
      </c>
      <c r="D17" s="72">
        <v>40</v>
      </c>
      <c r="E17" s="66">
        <f t="shared" si="0"/>
        <v>4</v>
      </c>
    </row>
    <row r="18" spans="1:5" ht="16" x14ac:dyDescent="0.2">
      <c r="A18" s="63" t="s">
        <v>75</v>
      </c>
      <c r="B18" s="63" t="s">
        <v>88</v>
      </c>
      <c r="C18" s="63">
        <v>10</v>
      </c>
      <c r="D18" s="72">
        <v>40</v>
      </c>
      <c r="E18" s="66">
        <f t="shared" si="0"/>
        <v>4</v>
      </c>
    </row>
    <row r="19" spans="1:5" ht="16" x14ac:dyDescent="0.2">
      <c r="A19" s="63" t="s">
        <v>75</v>
      </c>
      <c r="B19" s="63" t="s">
        <v>89</v>
      </c>
      <c r="C19" s="63">
        <v>10</v>
      </c>
      <c r="D19" s="72">
        <v>40</v>
      </c>
      <c r="E19" s="66">
        <f t="shared" si="0"/>
        <v>4</v>
      </c>
    </row>
    <row r="20" spans="1:5" ht="16" x14ac:dyDescent="0.2">
      <c r="A20" s="63" t="s">
        <v>76</v>
      </c>
      <c r="B20" s="63" t="s">
        <v>90</v>
      </c>
      <c r="C20" s="63">
        <v>10</v>
      </c>
      <c r="D20" s="72">
        <v>40</v>
      </c>
      <c r="E20" s="66">
        <f t="shared" si="0"/>
        <v>4</v>
      </c>
    </row>
    <row r="21" spans="1:5" ht="16" x14ac:dyDescent="0.2">
      <c r="A21" s="63" t="s">
        <v>76</v>
      </c>
      <c r="B21" s="63" t="s">
        <v>91</v>
      </c>
      <c r="C21" s="63">
        <v>9</v>
      </c>
      <c r="D21" s="72">
        <v>40</v>
      </c>
      <c r="E21" s="66">
        <f t="shared" si="0"/>
        <v>3.6</v>
      </c>
    </row>
    <row r="22" spans="1:5" ht="16" x14ac:dyDescent="0.2">
      <c r="A22" s="63" t="s">
        <v>76</v>
      </c>
      <c r="B22" s="63" t="s">
        <v>92</v>
      </c>
      <c r="C22" s="63">
        <v>9</v>
      </c>
      <c r="D22" s="72">
        <v>40</v>
      </c>
      <c r="E22" s="66">
        <f t="shared" si="0"/>
        <v>3.6</v>
      </c>
    </row>
    <row r="23" spans="1:5" ht="15.75" customHeight="1" x14ac:dyDescent="0.2">
      <c r="B23" s="67" t="s">
        <v>3</v>
      </c>
      <c r="C23" s="67">
        <f t="shared" ref="C23:E23" si="1">SUM(C2:C22)</f>
        <v>196</v>
      </c>
      <c r="D23" s="68">
        <f t="shared" si="1"/>
        <v>840</v>
      </c>
      <c r="E23" s="68">
        <f t="shared" si="1"/>
        <v>78.400000000000006</v>
      </c>
    </row>
    <row r="24" spans="1:5" ht="15.75" customHeight="1" x14ac:dyDescent="0.2"/>
    <row r="25" spans="1:5" ht="15.75" customHeight="1" x14ac:dyDescent="0.2"/>
    <row r="26" spans="1:5" ht="15.75" customHeight="1" x14ac:dyDescent="0.2"/>
    <row r="27" spans="1:5" ht="15.75" customHeight="1" x14ac:dyDescent="0.2">
      <c r="A27" s="50" t="s">
        <v>2</v>
      </c>
      <c r="B27" s="70">
        <v>20</v>
      </c>
      <c r="C27" s="71">
        <v>0.02</v>
      </c>
    </row>
    <row r="28" spans="1:5" ht="15.75" customHeight="1" x14ac:dyDescent="0.2"/>
    <row r="29" spans="1:5" ht="15.75" customHeight="1" x14ac:dyDescent="0.2"/>
    <row r="30" spans="1:5" ht="15.75" customHeight="1" x14ac:dyDescent="0.2"/>
    <row r="31" spans="1:5" ht="15.75" customHeight="1" x14ac:dyDescent="0.2"/>
    <row r="32" spans="1: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995"/>
  <sheetViews>
    <sheetView workbookViewId="0"/>
  </sheetViews>
  <sheetFormatPr baseColWidth="10" defaultColWidth="11.1640625" defaultRowHeight="15" customHeight="1" x14ac:dyDescent="0.2"/>
  <sheetData>
    <row r="1" spans="1:5" ht="16" x14ac:dyDescent="0.2">
      <c r="A1" s="62" t="s">
        <v>53</v>
      </c>
      <c r="B1" s="63" t="s">
        <v>54</v>
      </c>
      <c r="C1" s="62" t="s">
        <v>55</v>
      </c>
      <c r="D1" s="62" t="s">
        <v>29</v>
      </c>
      <c r="E1" s="62" t="s">
        <v>56</v>
      </c>
    </row>
    <row r="2" spans="1:5" ht="16" x14ac:dyDescent="0.2">
      <c r="A2" s="73" t="s">
        <v>93</v>
      </c>
      <c r="B2" s="74">
        <v>46143.75</v>
      </c>
      <c r="C2" s="75">
        <v>10</v>
      </c>
      <c r="D2" s="63">
        <v>31</v>
      </c>
      <c r="E2" s="66">
        <f t="shared" ref="E2:E5" si="0">C2*$B$16*$C$16</f>
        <v>4</v>
      </c>
    </row>
    <row r="3" spans="1:5" ht="16" x14ac:dyDescent="0.2">
      <c r="A3" s="73" t="s">
        <v>93</v>
      </c>
      <c r="B3" s="76">
        <v>46357.75</v>
      </c>
      <c r="C3" s="75">
        <v>1</v>
      </c>
      <c r="D3" s="63">
        <v>31</v>
      </c>
      <c r="E3" s="66">
        <f t="shared" si="0"/>
        <v>0.4</v>
      </c>
    </row>
    <row r="4" spans="1:5" ht="16" x14ac:dyDescent="0.2">
      <c r="A4" s="73" t="s">
        <v>93</v>
      </c>
      <c r="B4" s="73" t="s">
        <v>94</v>
      </c>
      <c r="C4" s="75">
        <v>3</v>
      </c>
      <c r="D4" s="63">
        <v>31</v>
      </c>
      <c r="E4" s="66">
        <f t="shared" si="0"/>
        <v>1.2</v>
      </c>
    </row>
    <row r="5" spans="1:5" ht="16" x14ac:dyDescent="0.2">
      <c r="A5" s="73" t="s">
        <v>93</v>
      </c>
      <c r="B5" s="73" t="s">
        <v>95</v>
      </c>
      <c r="C5" s="75">
        <v>9</v>
      </c>
      <c r="D5" s="75">
        <v>31</v>
      </c>
      <c r="E5" s="66">
        <f t="shared" si="0"/>
        <v>3.6</v>
      </c>
    </row>
    <row r="6" spans="1:5" ht="16" x14ac:dyDescent="0.2">
      <c r="A6" s="73"/>
      <c r="B6" s="73"/>
      <c r="C6" s="75"/>
      <c r="D6" s="75"/>
      <c r="E6" s="66"/>
    </row>
    <row r="7" spans="1:5" ht="16" x14ac:dyDescent="0.2">
      <c r="A7" s="73"/>
      <c r="B7" s="73"/>
      <c r="C7" s="73"/>
      <c r="D7" s="73"/>
      <c r="E7" s="66"/>
    </row>
    <row r="8" spans="1:5" ht="16" x14ac:dyDescent="0.2">
      <c r="A8" s="50"/>
      <c r="B8" s="50"/>
      <c r="C8" s="77"/>
      <c r="D8" s="77"/>
      <c r="E8" s="66"/>
    </row>
    <row r="9" spans="1:5" ht="16" x14ac:dyDescent="0.2">
      <c r="A9" s="50"/>
      <c r="B9" s="50"/>
      <c r="C9" s="77"/>
      <c r="D9" s="77"/>
      <c r="E9" s="66"/>
    </row>
    <row r="10" spans="1:5" ht="16" x14ac:dyDescent="0.2">
      <c r="A10" s="50"/>
      <c r="B10" s="50"/>
      <c r="C10" s="77"/>
      <c r="D10" s="77"/>
      <c r="E10" s="66"/>
    </row>
    <row r="11" spans="1:5" ht="16" x14ac:dyDescent="0.2">
      <c r="A11" s="50"/>
      <c r="B11" s="67"/>
      <c r="C11" s="67"/>
      <c r="D11" s="68"/>
      <c r="E11" s="67"/>
    </row>
    <row r="12" spans="1:5" ht="16" x14ac:dyDescent="0.2">
      <c r="B12" s="67" t="s">
        <v>3</v>
      </c>
      <c r="C12" s="67">
        <f t="shared" ref="C12:E12" si="1">SUM(C2:C11)</f>
        <v>23</v>
      </c>
      <c r="D12" s="68">
        <f t="shared" si="1"/>
        <v>124</v>
      </c>
      <c r="E12" s="69">
        <f t="shared" si="1"/>
        <v>9.2000000000000011</v>
      </c>
    </row>
    <row r="16" spans="1:5" ht="15.75" customHeight="1" x14ac:dyDescent="0.2">
      <c r="A16" s="50" t="s">
        <v>2</v>
      </c>
      <c r="B16" s="70">
        <v>20</v>
      </c>
      <c r="C16" s="71">
        <v>0.02</v>
      </c>
    </row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E1000"/>
  <sheetViews>
    <sheetView workbookViewId="0"/>
  </sheetViews>
  <sheetFormatPr baseColWidth="10" defaultColWidth="11.1640625" defaultRowHeight="15" customHeight="1" x14ac:dyDescent="0.2"/>
  <cols>
    <col min="2" max="2" width="19.5" customWidth="1"/>
  </cols>
  <sheetData>
    <row r="1" spans="1:5" ht="16" x14ac:dyDescent="0.2">
      <c r="A1" s="62" t="s">
        <v>53</v>
      </c>
      <c r="B1" s="63" t="s">
        <v>54</v>
      </c>
      <c r="C1" s="62" t="s">
        <v>55</v>
      </c>
      <c r="D1" s="62" t="s">
        <v>29</v>
      </c>
      <c r="E1" s="62" t="s">
        <v>56</v>
      </c>
    </row>
    <row r="2" spans="1:5" ht="16" x14ac:dyDescent="0.2">
      <c r="A2" s="73" t="s">
        <v>75</v>
      </c>
      <c r="B2" s="78">
        <v>46054.375</v>
      </c>
      <c r="C2" s="63">
        <v>11</v>
      </c>
      <c r="D2" s="75">
        <v>35</v>
      </c>
      <c r="E2" s="66">
        <f t="shared" ref="E2:E43" si="0">C2*$B$50*$C$50</f>
        <v>4.4000000000000004</v>
      </c>
    </row>
    <row r="3" spans="1:5" ht="16" x14ac:dyDescent="0.2">
      <c r="A3" s="73" t="s">
        <v>96</v>
      </c>
      <c r="B3" s="78">
        <v>46054.458333333336</v>
      </c>
      <c r="C3" s="63">
        <v>6</v>
      </c>
      <c r="D3" s="75">
        <v>30</v>
      </c>
      <c r="E3" s="66">
        <f t="shared" si="0"/>
        <v>2.4</v>
      </c>
    </row>
    <row r="4" spans="1:5" ht="16" x14ac:dyDescent="0.2">
      <c r="A4" s="73" t="s">
        <v>76</v>
      </c>
      <c r="B4" s="78">
        <v>46082.375</v>
      </c>
      <c r="C4" s="63">
        <v>8</v>
      </c>
      <c r="D4" s="75">
        <v>35</v>
      </c>
      <c r="E4" s="66">
        <f t="shared" si="0"/>
        <v>3.2</v>
      </c>
    </row>
    <row r="5" spans="1:5" ht="16" x14ac:dyDescent="0.2">
      <c r="A5" s="73" t="s">
        <v>76</v>
      </c>
      <c r="B5" s="78">
        <v>46082.416666666664</v>
      </c>
      <c r="C5" s="63">
        <v>10</v>
      </c>
      <c r="D5" s="75">
        <v>35</v>
      </c>
      <c r="E5" s="66">
        <f t="shared" si="0"/>
        <v>4</v>
      </c>
    </row>
    <row r="6" spans="1:5" ht="16" x14ac:dyDescent="0.2">
      <c r="A6" s="73" t="s">
        <v>97</v>
      </c>
      <c r="B6" s="78">
        <v>46113.375</v>
      </c>
      <c r="C6" s="63">
        <v>10</v>
      </c>
      <c r="D6" s="75">
        <v>35</v>
      </c>
      <c r="E6" s="66">
        <f t="shared" si="0"/>
        <v>4</v>
      </c>
    </row>
    <row r="7" spans="1:5" ht="16" x14ac:dyDescent="0.2">
      <c r="A7" s="73" t="s">
        <v>97</v>
      </c>
      <c r="B7" s="78">
        <v>46113.416666666664</v>
      </c>
      <c r="C7" s="63">
        <v>9</v>
      </c>
      <c r="D7" s="75">
        <v>35</v>
      </c>
      <c r="E7" s="66">
        <f t="shared" si="0"/>
        <v>3.6</v>
      </c>
    </row>
    <row r="8" spans="1:5" ht="16" x14ac:dyDescent="0.2">
      <c r="A8" s="73" t="s">
        <v>98</v>
      </c>
      <c r="B8" s="78">
        <v>46113.5</v>
      </c>
      <c r="C8" s="63">
        <v>10</v>
      </c>
      <c r="D8" s="75">
        <v>35</v>
      </c>
      <c r="E8" s="66">
        <f t="shared" si="0"/>
        <v>4</v>
      </c>
    </row>
    <row r="9" spans="1:5" ht="16" x14ac:dyDescent="0.2">
      <c r="A9" s="73" t="s">
        <v>96</v>
      </c>
      <c r="B9" s="78">
        <v>46143.375</v>
      </c>
      <c r="C9" s="63">
        <v>6</v>
      </c>
      <c r="D9" s="75">
        <v>30</v>
      </c>
      <c r="E9" s="66">
        <f t="shared" si="0"/>
        <v>2.4</v>
      </c>
    </row>
    <row r="10" spans="1:5" ht="16" x14ac:dyDescent="0.2">
      <c r="A10" s="73" t="s">
        <v>96</v>
      </c>
      <c r="B10" s="78">
        <v>46143.416666666664</v>
      </c>
      <c r="C10" s="63">
        <v>6</v>
      </c>
      <c r="D10" s="75">
        <v>30</v>
      </c>
      <c r="E10" s="66">
        <f t="shared" si="0"/>
        <v>2.4</v>
      </c>
    </row>
    <row r="11" spans="1:5" ht="16" x14ac:dyDescent="0.2">
      <c r="A11" s="73" t="s">
        <v>75</v>
      </c>
      <c r="B11" s="78">
        <v>46143.458333333336</v>
      </c>
      <c r="C11" s="63">
        <v>8</v>
      </c>
      <c r="D11" s="75">
        <v>35</v>
      </c>
      <c r="E11" s="66">
        <f t="shared" si="0"/>
        <v>3.2</v>
      </c>
    </row>
    <row r="12" spans="1:5" ht="16" x14ac:dyDescent="0.2">
      <c r="A12" s="73" t="s">
        <v>96</v>
      </c>
      <c r="B12" s="78">
        <v>46143.708333333336</v>
      </c>
      <c r="C12" s="63">
        <v>3</v>
      </c>
      <c r="D12" s="75">
        <v>30</v>
      </c>
      <c r="E12" s="66">
        <f t="shared" si="0"/>
        <v>1.2</v>
      </c>
    </row>
    <row r="13" spans="1:5" ht="16" x14ac:dyDescent="0.2">
      <c r="A13" s="73" t="s">
        <v>75</v>
      </c>
      <c r="B13" s="78">
        <v>46143.791666666664</v>
      </c>
      <c r="C13" s="63">
        <v>8</v>
      </c>
      <c r="D13" s="75">
        <v>35</v>
      </c>
      <c r="E13" s="66">
        <f t="shared" si="0"/>
        <v>3.2</v>
      </c>
    </row>
    <row r="14" spans="1:5" ht="16" x14ac:dyDescent="0.2">
      <c r="A14" s="73" t="s">
        <v>76</v>
      </c>
      <c r="B14" s="78">
        <v>46143.833333333336</v>
      </c>
      <c r="C14" s="63">
        <v>8</v>
      </c>
      <c r="D14" s="75">
        <v>35</v>
      </c>
      <c r="E14" s="66">
        <f t="shared" si="0"/>
        <v>3.2</v>
      </c>
    </row>
    <row r="15" spans="1:5" ht="16" x14ac:dyDescent="0.2">
      <c r="A15" s="73" t="s">
        <v>75</v>
      </c>
      <c r="B15" s="78">
        <v>46174.416666666664</v>
      </c>
      <c r="C15" s="63">
        <v>9</v>
      </c>
      <c r="D15" s="75">
        <v>35</v>
      </c>
      <c r="E15" s="66">
        <f t="shared" si="0"/>
        <v>3.6</v>
      </c>
    </row>
    <row r="16" spans="1:5" ht="16" x14ac:dyDescent="0.2">
      <c r="A16" s="73" t="s">
        <v>75</v>
      </c>
      <c r="B16" s="78">
        <v>46174.458333333336</v>
      </c>
      <c r="C16" s="63">
        <v>10</v>
      </c>
      <c r="D16" s="75">
        <v>35</v>
      </c>
      <c r="E16" s="66">
        <f t="shared" si="0"/>
        <v>4</v>
      </c>
    </row>
    <row r="17" spans="1:5" ht="16" x14ac:dyDescent="0.2">
      <c r="A17" s="73" t="s">
        <v>75</v>
      </c>
      <c r="B17" s="78">
        <v>46174.75</v>
      </c>
      <c r="C17" s="63">
        <v>1</v>
      </c>
      <c r="D17" s="75">
        <v>35</v>
      </c>
      <c r="E17" s="66">
        <f t="shared" si="0"/>
        <v>0.4</v>
      </c>
    </row>
    <row r="18" spans="1:5" ht="16" x14ac:dyDescent="0.2">
      <c r="A18" s="73" t="s">
        <v>99</v>
      </c>
      <c r="B18" s="78">
        <v>46235.375</v>
      </c>
      <c r="C18" s="63">
        <v>10</v>
      </c>
      <c r="D18" s="75">
        <v>35</v>
      </c>
      <c r="E18" s="66">
        <f t="shared" si="0"/>
        <v>4</v>
      </c>
    </row>
    <row r="19" spans="1:5" ht="16" x14ac:dyDescent="0.2">
      <c r="A19" s="73" t="s">
        <v>100</v>
      </c>
      <c r="B19" s="78">
        <v>46235.416666666664</v>
      </c>
      <c r="C19" s="63">
        <v>10</v>
      </c>
      <c r="D19" s="75">
        <v>35</v>
      </c>
      <c r="E19" s="66">
        <f t="shared" si="0"/>
        <v>4</v>
      </c>
    </row>
    <row r="20" spans="1:5" ht="16" x14ac:dyDescent="0.2">
      <c r="A20" s="73" t="s">
        <v>75</v>
      </c>
      <c r="B20" s="78">
        <v>46266.375</v>
      </c>
      <c r="C20" s="63">
        <v>7</v>
      </c>
      <c r="D20" s="75">
        <v>35</v>
      </c>
      <c r="E20" s="66">
        <f t="shared" si="0"/>
        <v>2.8000000000000003</v>
      </c>
    </row>
    <row r="21" spans="1:5" ht="16" x14ac:dyDescent="0.2">
      <c r="A21" s="73" t="s">
        <v>76</v>
      </c>
      <c r="B21" s="78">
        <v>46266.458333333336</v>
      </c>
      <c r="C21" s="63">
        <v>9</v>
      </c>
      <c r="D21" s="75">
        <v>35</v>
      </c>
      <c r="E21" s="66">
        <f t="shared" si="0"/>
        <v>3.6</v>
      </c>
    </row>
    <row r="22" spans="1:5" ht="16" x14ac:dyDescent="0.2">
      <c r="A22" s="73" t="s">
        <v>101</v>
      </c>
      <c r="B22" s="78">
        <v>46296.416666666664</v>
      </c>
      <c r="C22" s="63">
        <v>6</v>
      </c>
      <c r="D22" s="75">
        <v>30</v>
      </c>
      <c r="E22" s="66">
        <f t="shared" si="0"/>
        <v>2.4</v>
      </c>
    </row>
    <row r="23" spans="1:5" ht="16" x14ac:dyDescent="0.2">
      <c r="A23" s="73" t="s">
        <v>100</v>
      </c>
      <c r="B23" s="78">
        <v>46327.375</v>
      </c>
      <c r="C23" s="63">
        <v>6</v>
      </c>
      <c r="D23" s="75">
        <v>35</v>
      </c>
      <c r="E23" s="66">
        <f t="shared" si="0"/>
        <v>2.4</v>
      </c>
    </row>
    <row r="24" spans="1:5" ht="16" x14ac:dyDescent="0.2">
      <c r="A24" s="73" t="s">
        <v>100</v>
      </c>
      <c r="B24" s="78">
        <v>46327.416666666664</v>
      </c>
      <c r="C24" s="63">
        <v>9</v>
      </c>
      <c r="D24" s="75">
        <v>35</v>
      </c>
      <c r="E24" s="66">
        <f t="shared" si="0"/>
        <v>3.6</v>
      </c>
    </row>
    <row r="25" spans="1:5" ht="16" x14ac:dyDescent="0.2">
      <c r="A25" s="73" t="s">
        <v>98</v>
      </c>
      <c r="B25" s="78">
        <v>46327.5</v>
      </c>
      <c r="C25" s="63">
        <v>10</v>
      </c>
      <c r="D25" s="75">
        <v>35</v>
      </c>
      <c r="E25" s="66">
        <f t="shared" si="0"/>
        <v>4</v>
      </c>
    </row>
    <row r="26" spans="1:5" ht="16" x14ac:dyDescent="0.2">
      <c r="A26" s="73" t="s">
        <v>96</v>
      </c>
      <c r="B26" s="78">
        <v>46357.375</v>
      </c>
      <c r="C26" s="63">
        <v>3</v>
      </c>
      <c r="D26" s="75">
        <v>30</v>
      </c>
      <c r="E26" s="66">
        <f t="shared" si="0"/>
        <v>1.2</v>
      </c>
    </row>
    <row r="27" spans="1:5" ht="16" x14ac:dyDescent="0.2">
      <c r="A27" s="73" t="s">
        <v>75</v>
      </c>
      <c r="B27" s="78">
        <v>46357.791666666664</v>
      </c>
      <c r="C27" s="63">
        <v>10</v>
      </c>
      <c r="D27" s="75">
        <v>35</v>
      </c>
      <c r="E27" s="66">
        <f t="shared" si="0"/>
        <v>4</v>
      </c>
    </row>
    <row r="28" spans="1:5" ht="16" x14ac:dyDescent="0.2">
      <c r="A28" s="73" t="s">
        <v>76</v>
      </c>
      <c r="B28" s="78">
        <v>46357.833333333336</v>
      </c>
      <c r="C28" s="63">
        <v>10</v>
      </c>
      <c r="D28" s="75">
        <v>35</v>
      </c>
      <c r="E28" s="66">
        <f t="shared" si="0"/>
        <v>4</v>
      </c>
    </row>
    <row r="29" spans="1:5" ht="16" x14ac:dyDescent="0.2">
      <c r="A29" s="73" t="s">
        <v>76</v>
      </c>
      <c r="B29" s="75" t="s">
        <v>102</v>
      </c>
      <c r="C29" s="63">
        <v>11</v>
      </c>
      <c r="D29" s="75">
        <v>35</v>
      </c>
      <c r="E29" s="66">
        <f t="shared" si="0"/>
        <v>4.4000000000000004</v>
      </c>
    </row>
    <row r="30" spans="1:5" ht="16" x14ac:dyDescent="0.2">
      <c r="A30" s="73" t="s">
        <v>75</v>
      </c>
      <c r="B30" s="75" t="s">
        <v>103</v>
      </c>
      <c r="C30" s="63">
        <v>10</v>
      </c>
      <c r="D30" s="75">
        <v>35</v>
      </c>
      <c r="E30" s="66">
        <f t="shared" si="0"/>
        <v>4</v>
      </c>
    </row>
    <row r="31" spans="1:5" ht="16" x14ac:dyDescent="0.2">
      <c r="A31" s="73" t="s">
        <v>99</v>
      </c>
      <c r="B31" s="75" t="s">
        <v>104</v>
      </c>
      <c r="C31" s="63">
        <v>6</v>
      </c>
      <c r="D31" s="75">
        <v>35</v>
      </c>
      <c r="E31" s="66">
        <f t="shared" si="0"/>
        <v>2.4</v>
      </c>
    </row>
    <row r="32" spans="1:5" ht="16" x14ac:dyDescent="0.2">
      <c r="A32" s="73" t="s">
        <v>100</v>
      </c>
      <c r="B32" s="75" t="s">
        <v>105</v>
      </c>
      <c r="C32" s="63">
        <v>3</v>
      </c>
      <c r="D32" s="75">
        <v>35</v>
      </c>
      <c r="E32" s="66">
        <f t="shared" si="0"/>
        <v>1.2</v>
      </c>
    </row>
    <row r="33" spans="1:5" ht="16" x14ac:dyDescent="0.2">
      <c r="A33" s="73" t="s">
        <v>98</v>
      </c>
      <c r="B33" s="75" t="s">
        <v>106</v>
      </c>
      <c r="C33" s="63">
        <v>7</v>
      </c>
      <c r="D33" s="75">
        <v>35</v>
      </c>
      <c r="E33" s="66">
        <f t="shared" si="0"/>
        <v>2.8000000000000003</v>
      </c>
    </row>
    <row r="34" spans="1:5" ht="16" x14ac:dyDescent="0.2">
      <c r="A34" s="73" t="s">
        <v>101</v>
      </c>
      <c r="B34" s="75" t="s">
        <v>107</v>
      </c>
      <c r="C34" s="63">
        <v>4</v>
      </c>
      <c r="D34" s="75">
        <v>30</v>
      </c>
      <c r="E34" s="66">
        <f t="shared" si="0"/>
        <v>1.6</v>
      </c>
    </row>
    <row r="35" spans="1:5" ht="16" x14ac:dyDescent="0.2">
      <c r="A35" s="73" t="s">
        <v>96</v>
      </c>
      <c r="B35" s="75" t="s">
        <v>108</v>
      </c>
      <c r="C35" s="63">
        <v>5</v>
      </c>
      <c r="D35" s="75">
        <v>30</v>
      </c>
      <c r="E35" s="66">
        <f t="shared" si="0"/>
        <v>2</v>
      </c>
    </row>
    <row r="36" spans="1:5" ht="16" x14ac:dyDescent="0.2">
      <c r="A36" s="73" t="s">
        <v>96</v>
      </c>
      <c r="B36" s="75" t="s">
        <v>109</v>
      </c>
      <c r="C36" s="63">
        <v>3</v>
      </c>
      <c r="D36" s="75">
        <v>30</v>
      </c>
      <c r="E36" s="66">
        <f t="shared" si="0"/>
        <v>1.2</v>
      </c>
    </row>
    <row r="37" spans="1:5" ht="16" x14ac:dyDescent="0.2">
      <c r="A37" s="73" t="s">
        <v>96</v>
      </c>
      <c r="B37" s="75" t="s">
        <v>110</v>
      </c>
      <c r="C37" s="63">
        <v>1</v>
      </c>
      <c r="D37" s="75">
        <v>30</v>
      </c>
      <c r="E37" s="66">
        <f t="shared" si="0"/>
        <v>0.4</v>
      </c>
    </row>
    <row r="38" spans="1:5" ht="16" x14ac:dyDescent="0.2">
      <c r="A38" s="73" t="s">
        <v>98</v>
      </c>
      <c r="B38" s="75" t="s">
        <v>111</v>
      </c>
      <c r="C38" s="63">
        <v>6</v>
      </c>
      <c r="D38" s="75">
        <v>35</v>
      </c>
      <c r="E38" s="66">
        <f t="shared" si="0"/>
        <v>2.4</v>
      </c>
    </row>
    <row r="39" spans="1:5" ht="16" x14ac:dyDescent="0.2">
      <c r="A39" s="73" t="s">
        <v>96</v>
      </c>
      <c r="B39" s="75" t="s">
        <v>112</v>
      </c>
      <c r="C39" s="63">
        <v>2</v>
      </c>
      <c r="D39" s="75">
        <v>30</v>
      </c>
      <c r="E39" s="66">
        <f t="shared" si="0"/>
        <v>0.8</v>
      </c>
    </row>
    <row r="40" spans="1:5" ht="16" x14ac:dyDescent="0.2">
      <c r="A40" s="73" t="s">
        <v>113</v>
      </c>
      <c r="B40" s="75" t="s">
        <v>114</v>
      </c>
      <c r="C40" s="63">
        <v>6</v>
      </c>
      <c r="D40" s="75">
        <v>30</v>
      </c>
      <c r="E40" s="66">
        <f t="shared" si="0"/>
        <v>2.4</v>
      </c>
    </row>
    <row r="41" spans="1:5" ht="16" x14ac:dyDescent="0.2">
      <c r="A41" s="73" t="s">
        <v>96</v>
      </c>
      <c r="B41" s="75" t="s">
        <v>115</v>
      </c>
      <c r="C41" s="63">
        <v>5</v>
      </c>
      <c r="D41" s="75">
        <v>30</v>
      </c>
      <c r="E41" s="66">
        <f t="shared" si="0"/>
        <v>2</v>
      </c>
    </row>
    <row r="42" spans="1:5" ht="16" x14ac:dyDescent="0.2">
      <c r="A42" s="73" t="s">
        <v>96</v>
      </c>
      <c r="B42" s="75" t="s">
        <v>116</v>
      </c>
      <c r="C42" s="63">
        <v>3</v>
      </c>
      <c r="D42" s="75">
        <v>30</v>
      </c>
      <c r="E42" s="66">
        <f t="shared" si="0"/>
        <v>1.2</v>
      </c>
    </row>
    <row r="43" spans="1:5" ht="16" x14ac:dyDescent="0.2">
      <c r="A43" s="73" t="s">
        <v>96</v>
      </c>
      <c r="B43" s="75" t="s">
        <v>117</v>
      </c>
      <c r="C43" s="63">
        <v>3</v>
      </c>
      <c r="D43" s="75">
        <v>30</v>
      </c>
      <c r="E43" s="66">
        <f t="shared" si="0"/>
        <v>1.2</v>
      </c>
    </row>
    <row r="44" spans="1:5" ht="15.75" customHeight="1" x14ac:dyDescent="0.2"/>
    <row r="45" spans="1:5" ht="15.75" customHeight="1" x14ac:dyDescent="0.2"/>
    <row r="46" spans="1:5" ht="15.75" customHeight="1" x14ac:dyDescent="0.2"/>
    <row r="47" spans="1:5" ht="15.75" customHeight="1" x14ac:dyDescent="0.2"/>
    <row r="48" spans="1:5" ht="15.75" customHeight="1" x14ac:dyDescent="0.2">
      <c r="B48" s="67" t="s">
        <v>3</v>
      </c>
      <c r="C48" s="67">
        <f t="shared" ref="C48:E48" si="1">SUM(C2:C43)</f>
        <v>288</v>
      </c>
      <c r="D48" s="68">
        <f t="shared" si="1"/>
        <v>1395</v>
      </c>
      <c r="E48" s="69">
        <f t="shared" si="1"/>
        <v>115.20000000000005</v>
      </c>
    </row>
    <row r="49" spans="1:3" ht="15.75" customHeight="1" x14ac:dyDescent="0.2"/>
    <row r="50" spans="1:3" ht="15.75" customHeight="1" x14ac:dyDescent="0.2">
      <c r="A50" s="50" t="s">
        <v>2</v>
      </c>
      <c r="B50" s="70">
        <v>20</v>
      </c>
      <c r="C50" s="71">
        <v>0.02</v>
      </c>
    </row>
    <row r="51" spans="1:3" ht="15.75" customHeight="1" x14ac:dyDescent="0.2"/>
    <row r="52" spans="1:3" ht="15.75" customHeight="1" x14ac:dyDescent="0.2"/>
    <row r="53" spans="1:3" ht="15.75" customHeight="1" x14ac:dyDescent="0.2"/>
    <row r="54" spans="1:3" ht="15.75" customHeight="1" x14ac:dyDescent="0.2"/>
    <row r="55" spans="1:3" ht="15.75" customHeight="1" x14ac:dyDescent="0.2"/>
    <row r="56" spans="1:3" ht="15.75" customHeight="1" x14ac:dyDescent="0.2"/>
    <row r="57" spans="1:3" ht="15.75" customHeight="1" x14ac:dyDescent="0.2"/>
    <row r="58" spans="1:3" ht="15.75" customHeight="1" x14ac:dyDescent="0.2"/>
    <row r="59" spans="1:3" ht="15.75" customHeight="1" x14ac:dyDescent="0.2"/>
    <row r="60" spans="1:3" ht="15.75" customHeight="1" x14ac:dyDescent="0.2"/>
    <row r="61" spans="1:3" ht="15.75" customHeight="1" x14ac:dyDescent="0.2"/>
    <row r="62" spans="1:3" ht="15.75" customHeight="1" x14ac:dyDescent="0.2"/>
    <row r="63" spans="1:3" ht="15.75" customHeight="1" x14ac:dyDescent="0.2"/>
    <row r="64" spans="1:3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E999"/>
  <sheetViews>
    <sheetView workbookViewId="0"/>
  </sheetViews>
  <sheetFormatPr baseColWidth="10" defaultColWidth="11.1640625" defaultRowHeight="15" customHeight="1" x14ac:dyDescent="0.2"/>
  <sheetData>
    <row r="1" spans="1:5" ht="16" x14ac:dyDescent="0.2">
      <c r="A1" s="62" t="s">
        <v>53</v>
      </c>
      <c r="B1" s="63" t="s">
        <v>54</v>
      </c>
      <c r="C1" s="62" t="s">
        <v>55</v>
      </c>
      <c r="D1" s="62" t="s">
        <v>29</v>
      </c>
      <c r="E1" s="62" t="s">
        <v>56</v>
      </c>
    </row>
    <row r="2" spans="1:5" ht="16" x14ac:dyDescent="0.2">
      <c r="A2" s="64" t="s">
        <v>101</v>
      </c>
      <c r="B2" s="79">
        <v>46054.5</v>
      </c>
      <c r="C2" s="63">
        <v>7</v>
      </c>
      <c r="D2" s="63">
        <v>33</v>
      </c>
      <c r="E2" s="66">
        <f t="shared" ref="E2:E34" si="0">C2*$B$40*$C$40</f>
        <v>2.8000000000000003</v>
      </c>
    </row>
    <row r="3" spans="1:5" ht="16" x14ac:dyDescent="0.2">
      <c r="A3" s="64" t="s">
        <v>96</v>
      </c>
      <c r="B3" s="79">
        <v>46174.5</v>
      </c>
      <c r="C3" s="63">
        <v>3</v>
      </c>
      <c r="D3" s="63">
        <v>33</v>
      </c>
      <c r="E3" s="66">
        <f t="shared" si="0"/>
        <v>1.2</v>
      </c>
    </row>
    <row r="4" spans="1:5" ht="16" x14ac:dyDescent="0.2">
      <c r="A4" s="64" t="s">
        <v>96</v>
      </c>
      <c r="B4" s="79">
        <v>46174.791666666664</v>
      </c>
      <c r="C4" s="63">
        <v>6</v>
      </c>
      <c r="D4" s="63">
        <v>33</v>
      </c>
      <c r="E4" s="66">
        <f t="shared" si="0"/>
        <v>2.4</v>
      </c>
    </row>
    <row r="5" spans="1:5" ht="16" x14ac:dyDescent="0.2">
      <c r="A5" s="64" t="s">
        <v>96</v>
      </c>
      <c r="B5" s="79">
        <v>46204.5</v>
      </c>
      <c r="C5" s="63">
        <v>4</v>
      </c>
      <c r="D5" s="63">
        <v>33</v>
      </c>
      <c r="E5" s="66">
        <f t="shared" si="0"/>
        <v>1.6</v>
      </c>
    </row>
    <row r="6" spans="1:5" ht="16" x14ac:dyDescent="0.2">
      <c r="A6" s="64" t="s">
        <v>113</v>
      </c>
      <c r="B6" s="80">
        <v>46204.75</v>
      </c>
      <c r="C6" s="63">
        <v>5</v>
      </c>
      <c r="D6" s="63">
        <v>33</v>
      </c>
      <c r="E6" s="66">
        <f t="shared" si="0"/>
        <v>2</v>
      </c>
    </row>
    <row r="7" spans="1:5" ht="16" x14ac:dyDescent="0.2">
      <c r="A7" s="64" t="s">
        <v>96</v>
      </c>
      <c r="B7" s="80">
        <v>46204.791666666664</v>
      </c>
      <c r="C7" s="63">
        <v>6</v>
      </c>
      <c r="D7" s="63">
        <v>33</v>
      </c>
      <c r="E7" s="66">
        <f t="shared" si="0"/>
        <v>2.4</v>
      </c>
    </row>
    <row r="8" spans="1:5" ht="16" x14ac:dyDescent="0.2">
      <c r="A8" s="64" t="s">
        <v>96</v>
      </c>
      <c r="B8" s="80">
        <v>46235.458333333336</v>
      </c>
      <c r="C8" s="63">
        <v>5</v>
      </c>
      <c r="D8" s="63">
        <v>33</v>
      </c>
      <c r="E8" s="66">
        <f t="shared" si="0"/>
        <v>2</v>
      </c>
    </row>
    <row r="9" spans="1:5" ht="16" x14ac:dyDescent="0.2">
      <c r="A9" s="64" t="s">
        <v>101</v>
      </c>
      <c r="B9" s="80">
        <v>46266.5</v>
      </c>
      <c r="C9" s="63">
        <v>6</v>
      </c>
      <c r="D9" s="63">
        <v>33</v>
      </c>
      <c r="E9" s="66">
        <f t="shared" si="0"/>
        <v>2.4</v>
      </c>
    </row>
    <row r="10" spans="1:5" ht="16" x14ac:dyDescent="0.2">
      <c r="A10" s="64" t="s">
        <v>96</v>
      </c>
      <c r="B10" s="80">
        <v>46266.541666666664</v>
      </c>
      <c r="C10" s="63">
        <v>3</v>
      </c>
      <c r="D10" s="63">
        <v>33</v>
      </c>
      <c r="E10" s="66">
        <f t="shared" si="0"/>
        <v>1.2</v>
      </c>
    </row>
    <row r="11" spans="1:5" ht="16" x14ac:dyDescent="0.2">
      <c r="A11" s="64" t="s">
        <v>96</v>
      </c>
      <c r="B11" s="80">
        <v>46357.5</v>
      </c>
      <c r="C11" s="63">
        <v>6</v>
      </c>
      <c r="D11" s="63">
        <v>33</v>
      </c>
      <c r="E11" s="66">
        <f t="shared" si="0"/>
        <v>2.4</v>
      </c>
    </row>
    <row r="12" spans="1:5" ht="16" x14ac:dyDescent="0.2">
      <c r="A12" s="64" t="s">
        <v>101</v>
      </c>
      <c r="B12" s="80">
        <v>46357.791666666664</v>
      </c>
      <c r="C12" s="63">
        <v>4</v>
      </c>
      <c r="D12" s="63">
        <v>33</v>
      </c>
      <c r="E12" s="66">
        <f t="shared" si="0"/>
        <v>1.6</v>
      </c>
    </row>
    <row r="13" spans="1:5" ht="16" x14ac:dyDescent="0.2">
      <c r="A13" s="64" t="s">
        <v>96</v>
      </c>
      <c r="B13" s="64" t="s">
        <v>103</v>
      </c>
      <c r="C13" s="63">
        <v>5</v>
      </c>
      <c r="D13" s="63">
        <v>33</v>
      </c>
      <c r="E13" s="66">
        <f t="shared" si="0"/>
        <v>2</v>
      </c>
    </row>
    <row r="14" spans="1:5" ht="16" x14ac:dyDescent="0.2">
      <c r="A14" s="64" t="s">
        <v>96</v>
      </c>
      <c r="B14" s="64" t="s">
        <v>118</v>
      </c>
      <c r="C14" s="63">
        <v>5</v>
      </c>
      <c r="D14" s="63">
        <v>33</v>
      </c>
      <c r="E14" s="66">
        <f t="shared" si="0"/>
        <v>2</v>
      </c>
    </row>
    <row r="15" spans="1:5" ht="16" x14ac:dyDescent="0.2">
      <c r="A15" s="64" t="s">
        <v>113</v>
      </c>
      <c r="B15" s="64" t="s">
        <v>77</v>
      </c>
      <c r="C15" s="63">
        <v>4</v>
      </c>
      <c r="D15" s="63">
        <v>33</v>
      </c>
      <c r="E15" s="66">
        <f t="shared" si="0"/>
        <v>1.6</v>
      </c>
    </row>
    <row r="16" spans="1:5" ht="16" x14ac:dyDescent="0.2">
      <c r="A16" s="64" t="s">
        <v>96</v>
      </c>
      <c r="B16" s="64" t="s">
        <v>78</v>
      </c>
      <c r="C16" s="63">
        <v>6</v>
      </c>
      <c r="D16" s="63">
        <v>33</v>
      </c>
      <c r="E16" s="66">
        <f t="shared" si="0"/>
        <v>2.4</v>
      </c>
    </row>
    <row r="17" spans="1:5" ht="16" x14ac:dyDescent="0.2">
      <c r="A17" s="64" t="s">
        <v>96</v>
      </c>
      <c r="B17" s="64" t="s">
        <v>65</v>
      </c>
      <c r="C17" s="63">
        <v>2</v>
      </c>
      <c r="D17" s="63">
        <v>33</v>
      </c>
      <c r="E17" s="66">
        <f t="shared" si="0"/>
        <v>0.8</v>
      </c>
    </row>
    <row r="18" spans="1:5" ht="16" x14ac:dyDescent="0.2">
      <c r="A18" s="64" t="s">
        <v>101</v>
      </c>
      <c r="B18" s="64" t="s">
        <v>82</v>
      </c>
      <c r="C18" s="63">
        <v>6</v>
      </c>
      <c r="D18" s="63">
        <v>33</v>
      </c>
      <c r="E18" s="66">
        <f t="shared" si="0"/>
        <v>2.4</v>
      </c>
    </row>
    <row r="19" spans="1:5" ht="16" x14ac:dyDescent="0.2">
      <c r="A19" s="64" t="s">
        <v>96</v>
      </c>
      <c r="B19" s="64" t="s">
        <v>119</v>
      </c>
      <c r="C19" s="63">
        <v>2</v>
      </c>
      <c r="D19" s="63">
        <v>33</v>
      </c>
      <c r="E19" s="66">
        <f t="shared" si="0"/>
        <v>0.8</v>
      </c>
    </row>
    <row r="20" spans="1:5" ht="16" x14ac:dyDescent="0.2">
      <c r="A20" s="64" t="s">
        <v>96</v>
      </c>
      <c r="B20" s="64" t="s">
        <v>120</v>
      </c>
      <c r="C20" s="63">
        <v>6</v>
      </c>
      <c r="D20" s="63">
        <v>33</v>
      </c>
      <c r="E20" s="66">
        <f t="shared" si="0"/>
        <v>2.4</v>
      </c>
    </row>
    <row r="21" spans="1:5" ht="16" x14ac:dyDescent="0.2">
      <c r="A21" s="64" t="s">
        <v>96</v>
      </c>
      <c r="B21" s="64" t="s">
        <v>121</v>
      </c>
      <c r="C21" s="63">
        <v>6</v>
      </c>
      <c r="D21" s="63">
        <v>33</v>
      </c>
      <c r="E21" s="66">
        <f t="shared" si="0"/>
        <v>2.4</v>
      </c>
    </row>
    <row r="22" spans="1:5" ht="16" x14ac:dyDescent="0.2">
      <c r="A22" s="64" t="s">
        <v>96</v>
      </c>
      <c r="B22" s="64" t="s">
        <v>122</v>
      </c>
      <c r="C22" s="63">
        <v>3</v>
      </c>
      <c r="D22" s="63">
        <v>33</v>
      </c>
      <c r="E22" s="66">
        <f t="shared" si="0"/>
        <v>1.2</v>
      </c>
    </row>
    <row r="23" spans="1:5" ht="16" x14ac:dyDescent="0.2">
      <c r="A23" s="64" t="s">
        <v>113</v>
      </c>
      <c r="B23" s="64" t="s">
        <v>83</v>
      </c>
      <c r="C23" s="63">
        <v>5</v>
      </c>
      <c r="D23" s="63">
        <v>33</v>
      </c>
      <c r="E23" s="66">
        <f t="shared" si="0"/>
        <v>2</v>
      </c>
    </row>
    <row r="24" spans="1:5" ht="16" x14ac:dyDescent="0.2">
      <c r="A24" s="64" t="s">
        <v>96</v>
      </c>
      <c r="B24" s="64" t="s">
        <v>84</v>
      </c>
      <c r="C24" s="63">
        <v>1</v>
      </c>
      <c r="D24" s="63">
        <v>33</v>
      </c>
      <c r="E24" s="66">
        <f t="shared" si="0"/>
        <v>0.4</v>
      </c>
    </row>
    <row r="25" spans="1:5" ht="16" x14ac:dyDescent="0.2">
      <c r="A25" s="64" t="s">
        <v>96</v>
      </c>
      <c r="B25" s="64" t="s">
        <v>123</v>
      </c>
      <c r="C25" s="63">
        <v>5</v>
      </c>
      <c r="D25" s="63">
        <v>33</v>
      </c>
      <c r="E25" s="66">
        <f t="shared" si="0"/>
        <v>2</v>
      </c>
    </row>
    <row r="26" spans="1:5" ht="16" x14ac:dyDescent="0.2">
      <c r="A26" s="64" t="s">
        <v>96</v>
      </c>
      <c r="B26" s="64" t="s">
        <v>95</v>
      </c>
      <c r="C26" s="63">
        <v>3</v>
      </c>
      <c r="D26" s="63">
        <v>33</v>
      </c>
      <c r="E26" s="66">
        <f t="shared" si="0"/>
        <v>1.2</v>
      </c>
    </row>
    <row r="27" spans="1:5" ht="16" x14ac:dyDescent="0.2">
      <c r="A27" s="64" t="s">
        <v>101</v>
      </c>
      <c r="B27" s="64" t="s">
        <v>124</v>
      </c>
      <c r="C27" s="63">
        <v>4</v>
      </c>
      <c r="D27" s="63">
        <v>33</v>
      </c>
      <c r="E27" s="66">
        <f t="shared" si="0"/>
        <v>1.6</v>
      </c>
    </row>
    <row r="28" spans="1:5" ht="16" x14ac:dyDescent="0.2">
      <c r="A28" s="64" t="s">
        <v>96</v>
      </c>
      <c r="B28" s="64" t="s">
        <v>125</v>
      </c>
      <c r="C28" s="63">
        <v>3</v>
      </c>
      <c r="D28" s="63">
        <v>33</v>
      </c>
      <c r="E28" s="66">
        <f t="shared" si="0"/>
        <v>1.2</v>
      </c>
    </row>
    <row r="29" spans="1:5" ht="16" x14ac:dyDescent="0.2">
      <c r="A29" s="64" t="s">
        <v>96</v>
      </c>
      <c r="B29" s="64" t="s">
        <v>126</v>
      </c>
      <c r="C29" s="63">
        <v>3</v>
      </c>
      <c r="D29" s="63">
        <v>33</v>
      </c>
      <c r="E29" s="66">
        <f t="shared" si="0"/>
        <v>1.2</v>
      </c>
    </row>
    <row r="30" spans="1:5" ht="16" x14ac:dyDescent="0.2">
      <c r="A30" s="64" t="s">
        <v>96</v>
      </c>
      <c r="B30" s="64" t="s">
        <v>127</v>
      </c>
      <c r="C30" s="63">
        <v>6</v>
      </c>
      <c r="D30" s="63">
        <v>33</v>
      </c>
      <c r="E30" s="66">
        <f t="shared" si="0"/>
        <v>2.4</v>
      </c>
    </row>
    <row r="31" spans="1:5" ht="16" x14ac:dyDescent="0.2">
      <c r="A31" s="64" t="s">
        <v>96</v>
      </c>
      <c r="B31" s="64" t="s">
        <v>128</v>
      </c>
      <c r="C31" s="63">
        <v>6</v>
      </c>
      <c r="D31" s="63">
        <v>33</v>
      </c>
      <c r="E31" s="66">
        <f t="shared" si="0"/>
        <v>2.4</v>
      </c>
    </row>
    <row r="32" spans="1:5" ht="16" x14ac:dyDescent="0.2">
      <c r="A32" s="64" t="s">
        <v>113</v>
      </c>
      <c r="B32" s="64" t="s">
        <v>88</v>
      </c>
      <c r="C32" s="63">
        <v>6</v>
      </c>
      <c r="D32" s="63">
        <v>33</v>
      </c>
      <c r="E32" s="66">
        <f t="shared" si="0"/>
        <v>2.4</v>
      </c>
    </row>
    <row r="33" spans="1:5" ht="16" x14ac:dyDescent="0.2">
      <c r="A33" s="64" t="s">
        <v>96</v>
      </c>
      <c r="B33" s="64" t="s">
        <v>89</v>
      </c>
      <c r="C33" s="63">
        <v>7</v>
      </c>
      <c r="D33" s="63">
        <v>33</v>
      </c>
      <c r="E33" s="66">
        <f t="shared" si="0"/>
        <v>2.8000000000000003</v>
      </c>
    </row>
    <row r="34" spans="1:5" ht="16" x14ac:dyDescent="0.2">
      <c r="A34" s="64" t="s">
        <v>101</v>
      </c>
      <c r="B34" s="64" t="s">
        <v>129</v>
      </c>
      <c r="C34" s="63">
        <v>3</v>
      </c>
      <c r="D34" s="63">
        <v>33</v>
      </c>
      <c r="E34" s="66">
        <f t="shared" si="0"/>
        <v>1.2</v>
      </c>
    </row>
    <row r="35" spans="1:5" ht="15.75" customHeight="1" x14ac:dyDescent="0.2">
      <c r="A35" s="64"/>
      <c r="B35" s="64"/>
      <c r="C35" s="63"/>
      <c r="D35" s="72"/>
      <c r="E35" s="66"/>
    </row>
    <row r="36" spans="1:5" ht="15.75" customHeight="1" x14ac:dyDescent="0.2">
      <c r="A36" s="64"/>
      <c r="B36" s="64"/>
      <c r="C36" s="63"/>
      <c r="D36" s="63"/>
      <c r="E36" s="66"/>
    </row>
    <row r="37" spans="1:5" ht="15.75" customHeight="1" x14ac:dyDescent="0.2"/>
    <row r="38" spans="1:5" ht="15.75" customHeight="1" x14ac:dyDescent="0.2">
      <c r="B38" s="67" t="s">
        <v>3</v>
      </c>
      <c r="C38" s="67">
        <f>SUM(C1:C34)</f>
        <v>152</v>
      </c>
      <c r="D38" s="68">
        <f t="shared" ref="D38:E38" si="1">SUM(D1:D36)</f>
        <v>1089</v>
      </c>
      <c r="E38" s="68">
        <f t="shared" si="1"/>
        <v>60.800000000000004</v>
      </c>
    </row>
    <row r="39" spans="1:5" ht="15.75" customHeight="1" x14ac:dyDescent="0.2"/>
    <row r="40" spans="1:5" ht="15.75" customHeight="1" x14ac:dyDescent="0.2">
      <c r="A40" s="50" t="s">
        <v>2</v>
      </c>
      <c r="B40" s="70">
        <v>20</v>
      </c>
      <c r="C40" s="71">
        <v>0.02</v>
      </c>
    </row>
    <row r="41" spans="1:5" ht="15.75" customHeight="1" x14ac:dyDescent="0.2"/>
    <row r="42" spans="1:5" ht="15.75" customHeight="1" x14ac:dyDescent="0.2"/>
    <row r="43" spans="1:5" ht="15.75" customHeight="1" x14ac:dyDescent="0.2"/>
    <row r="44" spans="1:5" ht="15.75" customHeight="1" x14ac:dyDescent="0.2"/>
    <row r="45" spans="1:5" ht="15.75" customHeight="1" x14ac:dyDescent="0.2"/>
    <row r="46" spans="1:5" ht="15.75" customHeight="1" x14ac:dyDescent="0.2"/>
    <row r="47" spans="1:5" ht="15.75" customHeight="1" x14ac:dyDescent="0.2"/>
    <row r="48" spans="1:5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F1068"/>
  <sheetViews>
    <sheetView workbookViewId="0"/>
  </sheetViews>
  <sheetFormatPr baseColWidth="10" defaultColWidth="11.1640625" defaultRowHeight="15" customHeight="1" x14ac:dyDescent="0.2"/>
  <cols>
    <col min="2" max="2" width="20" customWidth="1"/>
  </cols>
  <sheetData>
    <row r="1" spans="1:5" ht="16" x14ac:dyDescent="0.2">
      <c r="A1" s="62" t="s">
        <v>53</v>
      </c>
      <c r="B1" s="63" t="s">
        <v>54</v>
      </c>
      <c r="C1" s="62" t="s">
        <v>55</v>
      </c>
      <c r="D1" s="62" t="s">
        <v>29</v>
      </c>
      <c r="E1" s="62" t="s">
        <v>56</v>
      </c>
    </row>
    <row r="2" spans="1:5" ht="16" x14ac:dyDescent="0.2">
      <c r="A2" s="73" t="s">
        <v>96</v>
      </c>
      <c r="B2" s="78">
        <v>46054.375</v>
      </c>
      <c r="C2" s="75">
        <v>6</v>
      </c>
      <c r="D2" s="81">
        <v>36</v>
      </c>
      <c r="E2" s="66">
        <f t="shared" ref="E2:E118" si="0">C2*$B$124*$C$124</f>
        <v>2.4</v>
      </c>
    </row>
    <row r="3" spans="1:5" ht="16" x14ac:dyDescent="0.2">
      <c r="A3" s="73" t="s">
        <v>96</v>
      </c>
      <c r="B3" s="78">
        <v>46054.416666666664</v>
      </c>
      <c r="C3" s="75">
        <v>5</v>
      </c>
      <c r="D3" s="81">
        <v>36</v>
      </c>
      <c r="E3" s="66">
        <f t="shared" si="0"/>
        <v>2</v>
      </c>
    </row>
    <row r="4" spans="1:5" ht="16" x14ac:dyDescent="0.2">
      <c r="A4" s="73" t="s">
        <v>96</v>
      </c>
      <c r="B4" s="78">
        <v>46054.541666666664</v>
      </c>
      <c r="C4" s="75">
        <v>6</v>
      </c>
      <c r="D4" s="81">
        <v>36</v>
      </c>
      <c r="E4" s="66">
        <f t="shared" si="0"/>
        <v>2.4</v>
      </c>
    </row>
    <row r="5" spans="1:5" ht="16" x14ac:dyDescent="0.2">
      <c r="A5" s="73" t="s">
        <v>130</v>
      </c>
      <c r="B5" s="78">
        <v>46054.583333333336</v>
      </c>
      <c r="C5" s="75">
        <v>12</v>
      </c>
      <c r="D5" s="81">
        <v>35</v>
      </c>
      <c r="E5" s="66">
        <f t="shared" si="0"/>
        <v>4.8</v>
      </c>
    </row>
    <row r="6" spans="1:5" ht="16" x14ac:dyDescent="0.2">
      <c r="A6" s="73" t="s">
        <v>96</v>
      </c>
      <c r="B6" s="78">
        <v>46054.708333333336</v>
      </c>
      <c r="C6" s="75">
        <v>6</v>
      </c>
      <c r="D6" s="81">
        <v>36</v>
      </c>
      <c r="E6" s="66">
        <f t="shared" si="0"/>
        <v>2.4</v>
      </c>
    </row>
    <row r="7" spans="1:5" ht="16" x14ac:dyDescent="0.2">
      <c r="A7" s="73" t="s">
        <v>96</v>
      </c>
      <c r="B7" s="78">
        <v>46054.75</v>
      </c>
      <c r="C7" s="75">
        <v>6</v>
      </c>
      <c r="D7" s="81">
        <v>36</v>
      </c>
      <c r="E7" s="66">
        <f t="shared" si="0"/>
        <v>2.4</v>
      </c>
    </row>
    <row r="8" spans="1:5" ht="16" x14ac:dyDescent="0.2">
      <c r="A8" s="73" t="s">
        <v>101</v>
      </c>
      <c r="B8" s="78">
        <v>46054.791666666664</v>
      </c>
      <c r="C8" s="75">
        <v>7</v>
      </c>
      <c r="D8" s="81">
        <v>36</v>
      </c>
      <c r="E8" s="66">
        <f t="shared" si="0"/>
        <v>2.8000000000000003</v>
      </c>
    </row>
    <row r="9" spans="1:5" ht="16" x14ac:dyDescent="0.2">
      <c r="A9" s="73" t="s">
        <v>96</v>
      </c>
      <c r="B9" s="78">
        <v>46054.833333333336</v>
      </c>
      <c r="C9" s="75">
        <v>5</v>
      </c>
      <c r="D9" s="81">
        <v>36</v>
      </c>
      <c r="E9" s="66">
        <f t="shared" si="0"/>
        <v>2</v>
      </c>
    </row>
    <row r="10" spans="1:5" ht="16" x14ac:dyDescent="0.2">
      <c r="A10" s="73" t="s">
        <v>96</v>
      </c>
      <c r="B10" s="78">
        <v>46082.416666666664</v>
      </c>
      <c r="C10" s="75">
        <v>5</v>
      </c>
      <c r="D10" s="81">
        <v>36</v>
      </c>
      <c r="E10" s="66">
        <f t="shared" si="0"/>
        <v>2</v>
      </c>
    </row>
    <row r="11" spans="1:5" ht="16" x14ac:dyDescent="0.2">
      <c r="A11" s="73" t="s">
        <v>131</v>
      </c>
      <c r="B11" s="78">
        <v>46082.458333333336</v>
      </c>
      <c r="C11" s="75">
        <v>11</v>
      </c>
      <c r="D11" s="81">
        <v>35</v>
      </c>
      <c r="E11" s="66">
        <f t="shared" si="0"/>
        <v>4.4000000000000004</v>
      </c>
    </row>
    <row r="12" spans="1:5" ht="16" x14ac:dyDescent="0.2">
      <c r="A12" s="73" t="s">
        <v>132</v>
      </c>
      <c r="B12" s="78">
        <v>46082.5</v>
      </c>
      <c r="C12" s="75">
        <v>6</v>
      </c>
      <c r="D12" s="81">
        <v>36</v>
      </c>
      <c r="E12" s="66">
        <f t="shared" si="0"/>
        <v>2.4</v>
      </c>
    </row>
    <row r="13" spans="1:5" ht="16" x14ac:dyDescent="0.2">
      <c r="A13" s="73" t="s">
        <v>96</v>
      </c>
      <c r="B13" s="78">
        <v>46082.541666666664</v>
      </c>
      <c r="C13" s="75">
        <v>7</v>
      </c>
      <c r="D13" s="81">
        <v>36</v>
      </c>
      <c r="E13" s="66">
        <f t="shared" si="0"/>
        <v>2.8000000000000003</v>
      </c>
    </row>
    <row r="14" spans="1:5" ht="16" x14ac:dyDescent="0.2">
      <c r="A14" s="73" t="s">
        <v>96</v>
      </c>
      <c r="B14" s="78">
        <v>46082.708333333336</v>
      </c>
      <c r="C14" s="75">
        <v>6</v>
      </c>
      <c r="D14" s="81">
        <v>36</v>
      </c>
      <c r="E14" s="66">
        <f t="shared" si="0"/>
        <v>2.4</v>
      </c>
    </row>
    <row r="15" spans="1:5" ht="16" x14ac:dyDescent="0.2">
      <c r="A15" s="73" t="s">
        <v>133</v>
      </c>
      <c r="B15" s="78">
        <v>46082.75</v>
      </c>
      <c r="C15" s="75">
        <v>4</v>
      </c>
      <c r="D15" s="81">
        <v>36</v>
      </c>
      <c r="E15" s="66">
        <f t="shared" si="0"/>
        <v>1.6</v>
      </c>
    </row>
    <row r="16" spans="1:5" ht="16" x14ac:dyDescent="0.2">
      <c r="A16" s="73" t="s">
        <v>96</v>
      </c>
      <c r="B16" s="78">
        <v>46113.458333333336</v>
      </c>
      <c r="C16" s="75">
        <v>6</v>
      </c>
      <c r="D16" s="81">
        <v>36</v>
      </c>
      <c r="E16" s="66">
        <f t="shared" si="0"/>
        <v>2.4</v>
      </c>
    </row>
    <row r="17" spans="1:5" ht="16" x14ac:dyDescent="0.2">
      <c r="A17" s="73" t="s">
        <v>96</v>
      </c>
      <c r="B17" s="78">
        <v>46113.5</v>
      </c>
      <c r="C17" s="75">
        <v>6</v>
      </c>
      <c r="D17" s="81">
        <v>36</v>
      </c>
      <c r="E17" s="66">
        <f t="shared" si="0"/>
        <v>2.4</v>
      </c>
    </row>
    <row r="18" spans="1:5" ht="16" x14ac:dyDescent="0.2">
      <c r="A18" s="73" t="s">
        <v>96</v>
      </c>
      <c r="B18" s="78">
        <v>46113.541666666664</v>
      </c>
      <c r="C18" s="75">
        <v>6</v>
      </c>
      <c r="D18" s="81">
        <v>36</v>
      </c>
      <c r="E18" s="66">
        <f t="shared" si="0"/>
        <v>2.4</v>
      </c>
    </row>
    <row r="19" spans="1:5" ht="16" x14ac:dyDescent="0.2">
      <c r="A19" s="73" t="s">
        <v>133</v>
      </c>
      <c r="B19" s="78">
        <v>46113.708333333336</v>
      </c>
      <c r="C19" s="75">
        <v>6</v>
      </c>
      <c r="D19" s="81">
        <v>36</v>
      </c>
      <c r="E19" s="66">
        <f t="shared" si="0"/>
        <v>2.4</v>
      </c>
    </row>
    <row r="20" spans="1:5" ht="16" x14ac:dyDescent="0.2">
      <c r="A20" s="73" t="s">
        <v>96</v>
      </c>
      <c r="B20" s="78">
        <v>46113.75</v>
      </c>
      <c r="C20" s="75">
        <v>5</v>
      </c>
      <c r="D20" s="81">
        <v>36</v>
      </c>
      <c r="E20" s="66">
        <f t="shared" si="0"/>
        <v>2</v>
      </c>
    </row>
    <row r="21" spans="1:5" ht="16" x14ac:dyDescent="0.2">
      <c r="A21" s="73" t="s">
        <v>96</v>
      </c>
      <c r="B21" s="78">
        <v>46143.458333333336</v>
      </c>
      <c r="C21" s="75">
        <v>6</v>
      </c>
      <c r="D21" s="81">
        <v>36</v>
      </c>
      <c r="E21" s="66">
        <f t="shared" si="0"/>
        <v>2.4</v>
      </c>
    </row>
    <row r="22" spans="1:5" ht="16" x14ac:dyDescent="0.2">
      <c r="A22" s="73" t="s">
        <v>96</v>
      </c>
      <c r="B22" s="78">
        <v>46143.5</v>
      </c>
      <c r="C22" s="75">
        <v>6</v>
      </c>
      <c r="D22" s="81">
        <v>36</v>
      </c>
      <c r="E22" s="66">
        <f t="shared" si="0"/>
        <v>2.4</v>
      </c>
    </row>
    <row r="23" spans="1:5" ht="16" x14ac:dyDescent="0.2">
      <c r="A23" s="73" t="s">
        <v>96</v>
      </c>
      <c r="B23" s="78">
        <v>46143.75</v>
      </c>
      <c r="C23" s="75">
        <v>6</v>
      </c>
      <c r="D23" s="81">
        <v>36</v>
      </c>
      <c r="E23" s="66">
        <f t="shared" si="0"/>
        <v>2.4</v>
      </c>
    </row>
    <row r="24" spans="1:5" ht="16" x14ac:dyDescent="0.2">
      <c r="A24" s="73" t="s">
        <v>96</v>
      </c>
      <c r="B24" s="78">
        <v>46143.791666666664</v>
      </c>
      <c r="C24" s="75">
        <v>5</v>
      </c>
      <c r="D24" s="81">
        <v>36</v>
      </c>
      <c r="E24" s="66">
        <f t="shared" si="0"/>
        <v>2</v>
      </c>
    </row>
    <row r="25" spans="1:5" ht="16" x14ac:dyDescent="0.2">
      <c r="A25" s="73" t="s">
        <v>96</v>
      </c>
      <c r="B25" s="78">
        <v>46143.875</v>
      </c>
      <c r="C25" s="75">
        <v>6</v>
      </c>
      <c r="D25" s="81">
        <v>36</v>
      </c>
      <c r="E25" s="66">
        <f t="shared" si="0"/>
        <v>2.4</v>
      </c>
    </row>
    <row r="26" spans="1:5" ht="16" x14ac:dyDescent="0.2">
      <c r="A26" s="73" t="s">
        <v>96</v>
      </c>
      <c r="B26" s="78">
        <v>46174.541666666664</v>
      </c>
      <c r="C26" s="75">
        <v>6</v>
      </c>
      <c r="D26" s="81">
        <v>36</v>
      </c>
      <c r="E26" s="66">
        <f t="shared" si="0"/>
        <v>2.4</v>
      </c>
    </row>
    <row r="27" spans="1:5" ht="16" x14ac:dyDescent="0.2">
      <c r="A27" s="73" t="s">
        <v>113</v>
      </c>
      <c r="B27" s="78">
        <v>46174.75</v>
      </c>
      <c r="C27" s="75">
        <v>6</v>
      </c>
      <c r="D27" s="81">
        <v>36</v>
      </c>
      <c r="E27" s="66">
        <f t="shared" si="0"/>
        <v>2.4</v>
      </c>
    </row>
    <row r="28" spans="1:5" ht="16" x14ac:dyDescent="0.2">
      <c r="A28" s="73" t="s">
        <v>130</v>
      </c>
      <c r="B28" s="78">
        <v>46174.833333333336</v>
      </c>
      <c r="C28" s="75">
        <v>10</v>
      </c>
      <c r="D28" s="81">
        <v>35</v>
      </c>
      <c r="E28" s="66">
        <f t="shared" si="0"/>
        <v>4</v>
      </c>
    </row>
    <row r="29" spans="1:5" ht="16" x14ac:dyDescent="0.2">
      <c r="A29" s="73" t="s">
        <v>101</v>
      </c>
      <c r="B29" s="78">
        <v>46174.875</v>
      </c>
      <c r="C29" s="75">
        <v>6</v>
      </c>
      <c r="D29" s="81">
        <v>36</v>
      </c>
      <c r="E29" s="66">
        <f t="shared" si="0"/>
        <v>2.4</v>
      </c>
    </row>
    <row r="30" spans="1:5" ht="16" x14ac:dyDescent="0.2">
      <c r="A30" s="73" t="s">
        <v>96</v>
      </c>
      <c r="B30" s="78">
        <v>46204.416666666664</v>
      </c>
      <c r="C30" s="75">
        <v>5</v>
      </c>
      <c r="D30" s="81">
        <v>36</v>
      </c>
      <c r="E30" s="66">
        <f t="shared" si="0"/>
        <v>2</v>
      </c>
    </row>
    <row r="31" spans="1:5" ht="16" x14ac:dyDescent="0.2">
      <c r="A31" s="73" t="s">
        <v>134</v>
      </c>
      <c r="B31" s="78">
        <v>46204.458333333336</v>
      </c>
      <c r="C31" s="75">
        <v>10</v>
      </c>
      <c r="D31" s="81">
        <v>35</v>
      </c>
      <c r="E31" s="66">
        <f t="shared" si="0"/>
        <v>4</v>
      </c>
    </row>
    <row r="32" spans="1:5" ht="16" x14ac:dyDescent="0.2">
      <c r="A32" s="73" t="s">
        <v>96</v>
      </c>
      <c r="B32" s="78">
        <v>46204.708333333336</v>
      </c>
      <c r="C32" s="75">
        <v>6</v>
      </c>
      <c r="D32" s="81">
        <v>36</v>
      </c>
      <c r="E32" s="66">
        <f t="shared" si="0"/>
        <v>2.4</v>
      </c>
    </row>
    <row r="33" spans="1:5" ht="16" x14ac:dyDescent="0.2">
      <c r="A33" s="73" t="s">
        <v>96</v>
      </c>
      <c r="B33" s="78">
        <v>46204.833333333336</v>
      </c>
      <c r="C33" s="75">
        <v>6</v>
      </c>
      <c r="D33" s="81">
        <v>36</v>
      </c>
      <c r="E33" s="66">
        <f t="shared" si="0"/>
        <v>2.4</v>
      </c>
    </row>
    <row r="34" spans="1:5" ht="16" x14ac:dyDescent="0.2">
      <c r="A34" s="73" t="s">
        <v>96</v>
      </c>
      <c r="B34" s="78">
        <v>46204.875</v>
      </c>
      <c r="C34" s="75">
        <v>2</v>
      </c>
      <c r="D34" s="81">
        <v>36</v>
      </c>
      <c r="E34" s="66">
        <f t="shared" si="0"/>
        <v>0.8</v>
      </c>
    </row>
    <row r="35" spans="1:5" ht="16" x14ac:dyDescent="0.2">
      <c r="A35" s="73" t="s">
        <v>130</v>
      </c>
      <c r="B35" s="78">
        <v>46235.458333333336</v>
      </c>
      <c r="C35" s="75">
        <v>10</v>
      </c>
      <c r="D35" s="81">
        <v>35</v>
      </c>
      <c r="E35" s="66">
        <f t="shared" si="0"/>
        <v>4</v>
      </c>
    </row>
    <row r="36" spans="1:5" ht="16" x14ac:dyDescent="0.2">
      <c r="A36" s="73" t="s">
        <v>101</v>
      </c>
      <c r="B36" s="78">
        <v>46235.5</v>
      </c>
      <c r="C36" s="75">
        <v>3</v>
      </c>
      <c r="D36" s="81">
        <v>36</v>
      </c>
      <c r="E36" s="66">
        <f t="shared" si="0"/>
        <v>1.2</v>
      </c>
    </row>
    <row r="37" spans="1:5" ht="16" x14ac:dyDescent="0.2">
      <c r="A37" s="73" t="s">
        <v>96</v>
      </c>
      <c r="B37" s="78">
        <v>46235.75</v>
      </c>
      <c r="C37" s="75">
        <v>6</v>
      </c>
      <c r="D37" s="81">
        <v>36</v>
      </c>
      <c r="E37" s="66">
        <f t="shared" si="0"/>
        <v>2.4</v>
      </c>
    </row>
    <row r="38" spans="1:5" ht="16" x14ac:dyDescent="0.2">
      <c r="A38" s="73" t="s">
        <v>96</v>
      </c>
      <c r="B38" s="78">
        <v>46235.791666666664</v>
      </c>
      <c r="C38" s="75">
        <v>6</v>
      </c>
      <c r="D38" s="81">
        <v>36</v>
      </c>
      <c r="E38" s="66">
        <f t="shared" si="0"/>
        <v>2.4</v>
      </c>
    </row>
    <row r="39" spans="1:5" ht="16" x14ac:dyDescent="0.2">
      <c r="A39" s="73" t="s">
        <v>131</v>
      </c>
      <c r="B39" s="78">
        <v>46235.833333333336</v>
      </c>
      <c r="C39" s="75">
        <v>11</v>
      </c>
      <c r="D39" s="81">
        <v>35</v>
      </c>
      <c r="E39" s="66">
        <f t="shared" si="0"/>
        <v>4.4000000000000004</v>
      </c>
    </row>
    <row r="40" spans="1:5" ht="16" x14ac:dyDescent="0.2">
      <c r="A40" s="73" t="s">
        <v>96</v>
      </c>
      <c r="B40" s="78">
        <v>46235.875</v>
      </c>
      <c r="C40" s="75">
        <v>6</v>
      </c>
      <c r="D40" s="81">
        <v>36</v>
      </c>
      <c r="E40" s="66">
        <f t="shared" si="0"/>
        <v>2.4</v>
      </c>
    </row>
    <row r="41" spans="1:5" ht="16" x14ac:dyDescent="0.2">
      <c r="A41" s="73" t="s">
        <v>96</v>
      </c>
      <c r="B41" s="78">
        <v>46266.333333333336</v>
      </c>
      <c r="C41" s="75">
        <v>2</v>
      </c>
      <c r="D41" s="81">
        <v>36</v>
      </c>
      <c r="E41" s="66">
        <f t="shared" si="0"/>
        <v>0.8</v>
      </c>
    </row>
    <row r="42" spans="1:5" ht="16" x14ac:dyDescent="0.2">
      <c r="A42" s="73" t="s">
        <v>96</v>
      </c>
      <c r="B42" s="78">
        <v>46266.375</v>
      </c>
      <c r="C42" s="75">
        <v>5</v>
      </c>
      <c r="D42" s="81">
        <v>36</v>
      </c>
      <c r="E42" s="66">
        <f t="shared" si="0"/>
        <v>2</v>
      </c>
    </row>
    <row r="43" spans="1:5" ht="16" x14ac:dyDescent="0.2">
      <c r="A43" s="73" t="s">
        <v>96</v>
      </c>
      <c r="B43" s="78">
        <v>46266.416666666664</v>
      </c>
      <c r="C43" s="75">
        <v>5</v>
      </c>
      <c r="D43" s="81">
        <v>36</v>
      </c>
      <c r="E43" s="66">
        <f t="shared" si="0"/>
        <v>2</v>
      </c>
    </row>
    <row r="44" spans="1:5" ht="16" x14ac:dyDescent="0.2">
      <c r="A44" s="73" t="s">
        <v>101</v>
      </c>
      <c r="B44" s="78">
        <v>46266.75</v>
      </c>
      <c r="C44" s="75">
        <v>4</v>
      </c>
      <c r="D44" s="81">
        <v>36</v>
      </c>
      <c r="E44" s="66">
        <f t="shared" si="0"/>
        <v>1.6</v>
      </c>
    </row>
    <row r="45" spans="1:5" ht="16" x14ac:dyDescent="0.2">
      <c r="A45" s="73" t="s">
        <v>96</v>
      </c>
      <c r="B45" s="78">
        <v>46266.791666666664</v>
      </c>
      <c r="C45" s="75">
        <v>6</v>
      </c>
      <c r="D45" s="81">
        <v>36</v>
      </c>
      <c r="E45" s="66">
        <f t="shared" si="0"/>
        <v>2.4</v>
      </c>
    </row>
    <row r="46" spans="1:5" ht="16" x14ac:dyDescent="0.2">
      <c r="A46" s="73" t="s">
        <v>96</v>
      </c>
      <c r="B46" s="78">
        <v>46266.833333333336</v>
      </c>
      <c r="C46" s="75">
        <v>4</v>
      </c>
      <c r="D46" s="81">
        <v>36</v>
      </c>
      <c r="E46" s="66">
        <f t="shared" si="0"/>
        <v>1.6</v>
      </c>
    </row>
    <row r="47" spans="1:5" ht="16" x14ac:dyDescent="0.2">
      <c r="A47" s="73" t="s">
        <v>131</v>
      </c>
      <c r="B47" s="78">
        <v>46296.458333333336</v>
      </c>
      <c r="C47" s="75">
        <v>10</v>
      </c>
      <c r="D47" s="81">
        <v>35</v>
      </c>
      <c r="E47" s="66">
        <f t="shared" si="0"/>
        <v>4</v>
      </c>
    </row>
    <row r="48" spans="1:5" ht="16" x14ac:dyDescent="0.2">
      <c r="A48" s="73" t="s">
        <v>135</v>
      </c>
      <c r="B48" s="78">
        <v>46296.5</v>
      </c>
      <c r="C48" s="75">
        <v>4</v>
      </c>
      <c r="D48" s="81">
        <v>36</v>
      </c>
      <c r="E48" s="66">
        <f t="shared" si="0"/>
        <v>1.6</v>
      </c>
    </row>
    <row r="49" spans="1:5" ht="16" x14ac:dyDescent="0.2">
      <c r="A49" s="73" t="s">
        <v>133</v>
      </c>
      <c r="B49" s="78">
        <v>46296.541666666664</v>
      </c>
      <c r="C49" s="75">
        <v>5</v>
      </c>
      <c r="D49" s="81">
        <v>36</v>
      </c>
      <c r="E49" s="66">
        <f t="shared" si="0"/>
        <v>2</v>
      </c>
    </row>
    <row r="50" spans="1:5" ht="16" x14ac:dyDescent="0.2">
      <c r="A50" s="73" t="s">
        <v>96</v>
      </c>
      <c r="B50" s="78">
        <v>46296.708333333336</v>
      </c>
      <c r="C50" s="75">
        <v>6</v>
      </c>
      <c r="D50" s="81">
        <v>36</v>
      </c>
      <c r="E50" s="66">
        <f t="shared" si="0"/>
        <v>2.4</v>
      </c>
    </row>
    <row r="51" spans="1:5" ht="16" x14ac:dyDescent="0.2">
      <c r="A51" s="73" t="s">
        <v>96</v>
      </c>
      <c r="B51" s="78">
        <v>46296.75</v>
      </c>
      <c r="C51" s="75">
        <v>6</v>
      </c>
      <c r="D51" s="81">
        <v>36</v>
      </c>
      <c r="E51" s="66">
        <f t="shared" si="0"/>
        <v>2.4</v>
      </c>
    </row>
    <row r="52" spans="1:5" ht="16" x14ac:dyDescent="0.2">
      <c r="A52" s="73" t="s">
        <v>96</v>
      </c>
      <c r="B52" s="78">
        <v>46327.458333333336</v>
      </c>
      <c r="C52" s="75">
        <v>6</v>
      </c>
      <c r="D52" s="81">
        <v>36</v>
      </c>
      <c r="E52" s="66">
        <f t="shared" si="0"/>
        <v>2.4</v>
      </c>
    </row>
    <row r="53" spans="1:5" ht="16" x14ac:dyDescent="0.2">
      <c r="A53" s="73" t="s">
        <v>96</v>
      </c>
      <c r="B53" s="78">
        <v>46327.5</v>
      </c>
      <c r="C53" s="75">
        <v>6</v>
      </c>
      <c r="D53" s="81">
        <v>36</v>
      </c>
      <c r="E53" s="66">
        <f t="shared" si="0"/>
        <v>2.4</v>
      </c>
    </row>
    <row r="54" spans="1:5" ht="16" x14ac:dyDescent="0.2">
      <c r="A54" s="73" t="s">
        <v>96</v>
      </c>
      <c r="B54" s="78">
        <v>46327.541666666664</v>
      </c>
      <c r="C54" s="75">
        <v>7</v>
      </c>
      <c r="D54" s="81">
        <v>36</v>
      </c>
      <c r="E54" s="66">
        <f t="shared" si="0"/>
        <v>2.8000000000000003</v>
      </c>
    </row>
    <row r="55" spans="1:5" ht="16" x14ac:dyDescent="0.2">
      <c r="A55" s="73" t="s">
        <v>96</v>
      </c>
      <c r="B55" s="78">
        <v>46327.708333333336</v>
      </c>
      <c r="C55" s="75">
        <v>6</v>
      </c>
      <c r="D55" s="81">
        <v>36</v>
      </c>
      <c r="E55" s="66">
        <f t="shared" si="0"/>
        <v>2.4</v>
      </c>
    </row>
    <row r="56" spans="1:5" ht="16" x14ac:dyDescent="0.2">
      <c r="A56" s="73" t="s">
        <v>96</v>
      </c>
      <c r="B56" s="78">
        <v>46327.75</v>
      </c>
      <c r="C56" s="75">
        <v>6</v>
      </c>
      <c r="D56" s="81">
        <v>36</v>
      </c>
      <c r="E56" s="66">
        <f t="shared" si="0"/>
        <v>2.4</v>
      </c>
    </row>
    <row r="57" spans="1:5" ht="16" x14ac:dyDescent="0.2">
      <c r="A57" s="73" t="s">
        <v>101</v>
      </c>
      <c r="B57" s="78">
        <v>46357.75</v>
      </c>
      <c r="C57" s="75">
        <v>6</v>
      </c>
      <c r="D57" s="81">
        <v>36</v>
      </c>
      <c r="E57" s="66">
        <f t="shared" si="0"/>
        <v>2.4</v>
      </c>
    </row>
    <row r="58" spans="1:5" ht="16" x14ac:dyDescent="0.2">
      <c r="A58" s="73" t="s">
        <v>101</v>
      </c>
      <c r="B58" s="78">
        <v>46357.875</v>
      </c>
      <c r="C58" s="75">
        <v>3</v>
      </c>
      <c r="D58" s="81">
        <v>36</v>
      </c>
      <c r="E58" s="66">
        <f t="shared" si="0"/>
        <v>1.2</v>
      </c>
    </row>
    <row r="59" spans="1:5" ht="16" x14ac:dyDescent="0.2">
      <c r="A59" s="73" t="s">
        <v>96</v>
      </c>
      <c r="B59" s="75" t="s">
        <v>136</v>
      </c>
      <c r="C59" s="75">
        <v>5</v>
      </c>
      <c r="D59" s="81">
        <v>36</v>
      </c>
      <c r="E59" s="66">
        <f t="shared" si="0"/>
        <v>2</v>
      </c>
    </row>
    <row r="60" spans="1:5" ht="16" x14ac:dyDescent="0.2">
      <c r="A60" s="73" t="s">
        <v>96</v>
      </c>
      <c r="B60" s="75" t="s">
        <v>137</v>
      </c>
      <c r="C60" s="75">
        <v>3</v>
      </c>
      <c r="D60" s="81">
        <v>36</v>
      </c>
      <c r="E60" s="66">
        <f t="shared" si="0"/>
        <v>1.2</v>
      </c>
    </row>
    <row r="61" spans="1:5" ht="16" x14ac:dyDescent="0.2">
      <c r="A61" s="73" t="s">
        <v>96</v>
      </c>
      <c r="B61" s="75" t="s">
        <v>138</v>
      </c>
      <c r="C61" s="75">
        <v>4</v>
      </c>
      <c r="D61" s="81">
        <v>36</v>
      </c>
      <c r="E61" s="66">
        <f t="shared" si="0"/>
        <v>1.6</v>
      </c>
    </row>
    <row r="62" spans="1:5" ht="15.75" customHeight="1" x14ac:dyDescent="0.2">
      <c r="A62" s="73" t="s">
        <v>96</v>
      </c>
      <c r="B62" s="75" t="s">
        <v>139</v>
      </c>
      <c r="C62" s="75">
        <v>5</v>
      </c>
      <c r="D62" s="81">
        <v>36</v>
      </c>
      <c r="E62" s="66">
        <f t="shared" si="0"/>
        <v>2</v>
      </c>
    </row>
    <row r="63" spans="1:5" ht="15.75" customHeight="1" x14ac:dyDescent="0.2">
      <c r="A63" s="73" t="s">
        <v>113</v>
      </c>
      <c r="B63" s="75" t="s">
        <v>102</v>
      </c>
      <c r="C63" s="75">
        <v>6</v>
      </c>
      <c r="D63" s="81">
        <v>36</v>
      </c>
      <c r="E63" s="66">
        <f t="shared" si="0"/>
        <v>2.4</v>
      </c>
    </row>
    <row r="64" spans="1:5" ht="15.75" customHeight="1" x14ac:dyDescent="0.2">
      <c r="A64" s="73" t="s">
        <v>131</v>
      </c>
      <c r="B64" s="75" t="s">
        <v>140</v>
      </c>
      <c r="C64" s="75">
        <v>11</v>
      </c>
      <c r="D64" s="81">
        <v>35</v>
      </c>
      <c r="E64" s="66">
        <f t="shared" si="0"/>
        <v>4.4000000000000004</v>
      </c>
    </row>
    <row r="65" spans="1:5" ht="15.75" customHeight="1" x14ac:dyDescent="0.2">
      <c r="A65" s="73" t="s">
        <v>96</v>
      </c>
      <c r="B65" s="75" t="s">
        <v>141</v>
      </c>
      <c r="C65" s="75">
        <v>4</v>
      </c>
      <c r="D65" s="81">
        <v>36</v>
      </c>
      <c r="E65" s="66">
        <f t="shared" si="0"/>
        <v>1.6</v>
      </c>
    </row>
    <row r="66" spans="1:5" ht="15.75" customHeight="1" x14ac:dyDescent="0.2">
      <c r="A66" s="73" t="s">
        <v>134</v>
      </c>
      <c r="B66" s="75" t="s">
        <v>142</v>
      </c>
      <c r="C66" s="75">
        <v>11</v>
      </c>
      <c r="D66" s="81">
        <v>35</v>
      </c>
      <c r="E66" s="66">
        <f t="shared" si="0"/>
        <v>4.4000000000000004</v>
      </c>
    </row>
    <row r="67" spans="1:5" ht="15.75" customHeight="1" x14ac:dyDescent="0.2">
      <c r="A67" s="73" t="s">
        <v>96</v>
      </c>
      <c r="B67" s="75" t="s">
        <v>79</v>
      </c>
      <c r="C67" s="75">
        <v>5</v>
      </c>
      <c r="D67" s="81">
        <v>36</v>
      </c>
      <c r="E67" s="66">
        <f t="shared" si="0"/>
        <v>2</v>
      </c>
    </row>
    <row r="68" spans="1:5" ht="15.75" customHeight="1" x14ac:dyDescent="0.2">
      <c r="A68" s="73" t="s">
        <v>130</v>
      </c>
      <c r="B68" s="75" t="s">
        <v>143</v>
      </c>
      <c r="C68" s="75">
        <v>9</v>
      </c>
      <c r="D68" s="81">
        <v>35</v>
      </c>
      <c r="E68" s="66">
        <f t="shared" si="0"/>
        <v>3.6</v>
      </c>
    </row>
    <row r="69" spans="1:5" ht="15.75" customHeight="1" x14ac:dyDescent="0.2">
      <c r="A69" s="73" t="s">
        <v>96</v>
      </c>
      <c r="B69" s="75" t="s">
        <v>144</v>
      </c>
      <c r="C69" s="75">
        <v>6</v>
      </c>
      <c r="D69" s="81">
        <v>36</v>
      </c>
      <c r="E69" s="66">
        <f t="shared" si="0"/>
        <v>2.4</v>
      </c>
    </row>
    <row r="70" spans="1:5" ht="15.75" customHeight="1" x14ac:dyDescent="0.2">
      <c r="A70" s="73" t="s">
        <v>96</v>
      </c>
      <c r="B70" s="75" t="s">
        <v>145</v>
      </c>
      <c r="C70" s="75">
        <v>6</v>
      </c>
      <c r="D70" s="81">
        <v>36</v>
      </c>
      <c r="E70" s="66">
        <f t="shared" si="0"/>
        <v>2.4</v>
      </c>
    </row>
    <row r="71" spans="1:5" ht="15.75" customHeight="1" x14ac:dyDescent="0.2">
      <c r="A71" s="73" t="s">
        <v>96</v>
      </c>
      <c r="B71" s="75" t="s">
        <v>146</v>
      </c>
      <c r="C71" s="75">
        <v>6</v>
      </c>
      <c r="D71" s="81">
        <v>36</v>
      </c>
      <c r="E71" s="66">
        <f t="shared" si="0"/>
        <v>2.4</v>
      </c>
    </row>
    <row r="72" spans="1:5" ht="15.75" customHeight="1" x14ac:dyDescent="0.2">
      <c r="A72" s="73" t="s">
        <v>131</v>
      </c>
      <c r="B72" s="75" t="s">
        <v>147</v>
      </c>
      <c r="C72" s="75">
        <v>8</v>
      </c>
      <c r="D72" s="81">
        <v>35</v>
      </c>
      <c r="E72" s="66">
        <f t="shared" si="0"/>
        <v>3.2</v>
      </c>
    </row>
    <row r="73" spans="1:5" ht="15.75" customHeight="1" x14ac:dyDescent="0.2">
      <c r="A73" s="73" t="s">
        <v>96</v>
      </c>
      <c r="B73" s="75" t="s">
        <v>148</v>
      </c>
      <c r="C73" s="75">
        <v>2</v>
      </c>
      <c r="D73" s="81">
        <v>36</v>
      </c>
      <c r="E73" s="66">
        <f t="shared" si="0"/>
        <v>0.8</v>
      </c>
    </row>
    <row r="74" spans="1:5" ht="15.75" customHeight="1" x14ac:dyDescent="0.2">
      <c r="A74" s="73" t="s">
        <v>130</v>
      </c>
      <c r="B74" s="75" t="s">
        <v>149</v>
      </c>
      <c r="C74" s="75">
        <v>9</v>
      </c>
      <c r="D74" s="81">
        <v>35</v>
      </c>
      <c r="E74" s="66">
        <f t="shared" si="0"/>
        <v>3.6</v>
      </c>
    </row>
    <row r="75" spans="1:5" ht="15.75" customHeight="1" x14ac:dyDescent="0.2">
      <c r="A75" s="73" t="s">
        <v>96</v>
      </c>
      <c r="B75" s="75" t="s">
        <v>150</v>
      </c>
      <c r="C75" s="75">
        <v>5</v>
      </c>
      <c r="D75" s="81">
        <v>36</v>
      </c>
      <c r="E75" s="66">
        <f t="shared" si="0"/>
        <v>2</v>
      </c>
    </row>
    <row r="76" spans="1:5" ht="15.75" customHeight="1" x14ac:dyDescent="0.2">
      <c r="A76" s="73" t="s">
        <v>96</v>
      </c>
      <c r="B76" s="75" t="s">
        <v>151</v>
      </c>
      <c r="C76" s="75">
        <v>5</v>
      </c>
      <c r="D76" s="81">
        <v>36</v>
      </c>
      <c r="E76" s="66">
        <f t="shared" si="0"/>
        <v>2</v>
      </c>
    </row>
    <row r="77" spans="1:5" ht="15.75" customHeight="1" x14ac:dyDescent="0.2">
      <c r="A77" s="73" t="s">
        <v>96</v>
      </c>
      <c r="B77" s="75" t="s">
        <v>152</v>
      </c>
      <c r="C77" s="75">
        <v>6</v>
      </c>
      <c r="D77" s="81">
        <v>36</v>
      </c>
      <c r="E77" s="66">
        <f t="shared" si="0"/>
        <v>2.4</v>
      </c>
    </row>
    <row r="78" spans="1:5" ht="15.75" customHeight="1" x14ac:dyDescent="0.2">
      <c r="A78" s="73" t="s">
        <v>130</v>
      </c>
      <c r="B78" s="75" t="s">
        <v>153</v>
      </c>
      <c r="C78" s="75">
        <v>9</v>
      </c>
      <c r="D78" s="81">
        <v>35</v>
      </c>
      <c r="E78" s="66">
        <f t="shared" si="0"/>
        <v>3.6</v>
      </c>
    </row>
    <row r="79" spans="1:5" ht="15.75" customHeight="1" x14ac:dyDescent="0.2">
      <c r="A79" s="73" t="s">
        <v>132</v>
      </c>
      <c r="B79" s="75" t="s">
        <v>154</v>
      </c>
      <c r="C79" s="75">
        <v>5</v>
      </c>
      <c r="D79" s="81">
        <v>36</v>
      </c>
      <c r="E79" s="66">
        <f t="shared" si="0"/>
        <v>2</v>
      </c>
    </row>
    <row r="80" spans="1:5" ht="15.75" customHeight="1" x14ac:dyDescent="0.2">
      <c r="A80" s="73" t="s">
        <v>96</v>
      </c>
      <c r="B80" s="75" t="s">
        <v>155</v>
      </c>
      <c r="C80" s="75">
        <v>6</v>
      </c>
      <c r="D80" s="81">
        <v>36</v>
      </c>
      <c r="E80" s="66">
        <f t="shared" si="0"/>
        <v>2.4</v>
      </c>
    </row>
    <row r="81" spans="1:5" ht="15.75" customHeight="1" x14ac:dyDescent="0.2">
      <c r="A81" s="73" t="s">
        <v>96</v>
      </c>
      <c r="B81" s="75" t="s">
        <v>156</v>
      </c>
      <c r="C81" s="75">
        <v>6</v>
      </c>
      <c r="D81" s="81">
        <v>36</v>
      </c>
      <c r="E81" s="66">
        <f t="shared" si="0"/>
        <v>2.4</v>
      </c>
    </row>
    <row r="82" spans="1:5" ht="15.75" customHeight="1" x14ac:dyDescent="0.2">
      <c r="A82" s="73" t="s">
        <v>133</v>
      </c>
      <c r="B82" s="75" t="s">
        <v>157</v>
      </c>
      <c r="C82" s="75">
        <v>6</v>
      </c>
      <c r="D82" s="81">
        <v>36</v>
      </c>
      <c r="E82" s="66">
        <f t="shared" si="0"/>
        <v>2.4</v>
      </c>
    </row>
    <row r="83" spans="1:5" ht="15.75" customHeight="1" x14ac:dyDescent="0.2">
      <c r="A83" s="73" t="s">
        <v>130</v>
      </c>
      <c r="B83" s="75" t="s">
        <v>158</v>
      </c>
      <c r="C83" s="75">
        <v>9</v>
      </c>
      <c r="D83" s="81">
        <v>35</v>
      </c>
      <c r="E83" s="66">
        <f t="shared" si="0"/>
        <v>3.6</v>
      </c>
    </row>
    <row r="84" spans="1:5" ht="15.75" customHeight="1" x14ac:dyDescent="0.2">
      <c r="A84" s="73" t="s">
        <v>130</v>
      </c>
      <c r="B84" s="75" t="s">
        <v>159</v>
      </c>
      <c r="C84" s="75">
        <v>9</v>
      </c>
      <c r="D84" s="81">
        <v>35</v>
      </c>
      <c r="E84" s="66">
        <f t="shared" si="0"/>
        <v>3.6</v>
      </c>
    </row>
    <row r="85" spans="1:5" ht="15.75" customHeight="1" x14ac:dyDescent="0.2">
      <c r="A85" s="73" t="s">
        <v>160</v>
      </c>
      <c r="B85" s="75" t="s">
        <v>161</v>
      </c>
      <c r="C85" s="75">
        <v>5</v>
      </c>
      <c r="D85" s="81">
        <v>36</v>
      </c>
      <c r="E85" s="66">
        <f t="shared" si="0"/>
        <v>2</v>
      </c>
    </row>
    <row r="86" spans="1:5" ht="15.75" customHeight="1" x14ac:dyDescent="0.2">
      <c r="A86" s="73" t="s">
        <v>160</v>
      </c>
      <c r="B86" s="75" t="s">
        <v>106</v>
      </c>
      <c r="C86" s="75">
        <v>6</v>
      </c>
      <c r="D86" s="81">
        <v>36</v>
      </c>
      <c r="E86" s="66">
        <f t="shared" si="0"/>
        <v>2.4</v>
      </c>
    </row>
    <row r="87" spans="1:5" ht="15.75" customHeight="1" x14ac:dyDescent="0.2">
      <c r="A87" s="73" t="s">
        <v>160</v>
      </c>
      <c r="B87" s="75" t="s">
        <v>162</v>
      </c>
      <c r="C87" s="75">
        <v>6</v>
      </c>
      <c r="D87" s="81">
        <v>36</v>
      </c>
      <c r="E87" s="66">
        <f t="shared" si="0"/>
        <v>2.4</v>
      </c>
    </row>
    <row r="88" spans="1:5" ht="15.75" customHeight="1" x14ac:dyDescent="0.2">
      <c r="A88" s="73" t="s">
        <v>133</v>
      </c>
      <c r="B88" s="75" t="s">
        <v>163</v>
      </c>
      <c r="C88" s="75">
        <v>5</v>
      </c>
      <c r="D88" s="81">
        <v>36</v>
      </c>
      <c r="E88" s="66">
        <f t="shared" si="0"/>
        <v>2</v>
      </c>
    </row>
    <row r="89" spans="1:5" ht="15.75" customHeight="1" x14ac:dyDescent="0.2">
      <c r="A89" s="73" t="s">
        <v>101</v>
      </c>
      <c r="B89" s="75" t="s">
        <v>164</v>
      </c>
      <c r="C89" s="75">
        <v>6</v>
      </c>
      <c r="D89" s="81">
        <v>36</v>
      </c>
      <c r="E89" s="66">
        <f t="shared" si="0"/>
        <v>2.4</v>
      </c>
    </row>
    <row r="90" spans="1:5" ht="15.75" customHeight="1" x14ac:dyDescent="0.2">
      <c r="A90" s="73" t="s">
        <v>96</v>
      </c>
      <c r="B90" s="75" t="s">
        <v>94</v>
      </c>
      <c r="C90" s="75">
        <v>6</v>
      </c>
      <c r="D90" s="81">
        <v>36</v>
      </c>
      <c r="E90" s="66">
        <f t="shared" si="0"/>
        <v>2.4</v>
      </c>
    </row>
    <row r="91" spans="1:5" ht="15.75" customHeight="1" x14ac:dyDescent="0.2">
      <c r="A91" s="73" t="s">
        <v>101</v>
      </c>
      <c r="B91" s="75" t="s">
        <v>165</v>
      </c>
      <c r="C91" s="75">
        <v>7</v>
      </c>
      <c r="D91" s="81">
        <v>36</v>
      </c>
      <c r="E91" s="66">
        <f t="shared" si="0"/>
        <v>2.8000000000000003</v>
      </c>
    </row>
    <row r="92" spans="1:5" ht="15.75" customHeight="1" x14ac:dyDescent="0.2">
      <c r="A92" s="73" t="s">
        <v>130</v>
      </c>
      <c r="B92" s="75" t="s">
        <v>166</v>
      </c>
      <c r="C92" s="75">
        <v>3</v>
      </c>
      <c r="D92" s="81">
        <v>35</v>
      </c>
      <c r="E92" s="66">
        <f t="shared" si="0"/>
        <v>1.2</v>
      </c>
    </row>
    <row r="93" spans="1:5" ht="15.75" customHeight="1" x14ac:dyDescent="0.2">
      <c r="A93" s="73" t="s">
        <v>130</v>
      </c>
      <c r="B93" s="75" t="s">
        <v>167</v>
      </c>
      <c r="C93" s="75">
        <v>6</v>
      </c>
      <c r="D93" s="81">
        <v>35</v>
      </c>
      <c r="E93" s="66">
        <f t="shared" si="0"/>
        <v>2.4</v>
      </c>
    </row>
    <row r="94" spans="1:5" ht="15.75" customHeight="1" x14ac:dyDescent="0.2">
      <c r="A94" s="73" t="s">
        <v>168</v>
      </c>
      <c r="B94" s="75" t="s">
        <v>169</v>
      </c>
      <c r="C94" s="75">
        <v>9</v>
      </c>
      <c r="D94" s="81">
        <v>35</v>
      </c>
      <c r="E94" s="66">
        <f t="shared" si="0"/>
        <v>3.6</v>
      </c>
    </row>
    <row r="95" spans="1:5" ht="15.75" customHeight="1" x14ac:dyDescent="0.2">
      <c r="A95" s="73" t="s">
        <v>96</v>
      </c>
      <c r="B95" s="75" t="s">
        <v>170</v>
      </c>
      <c r="C95" s="75">
        <v>6</v>
      </c>
      <c r="D95" s="81">
        <v>36</v>
      </c>
      <c r="E95" s="66">
        <f t="shared" si="0"/>
        <v>2.4</v>
      </c>
    </row>
    <row r="96" spans="1:5" ht="15.75" customHeight="1" x14ac:dyDescent="0.2">
      <c r="A96" s="73" t="s">
        <v>130</v>
      </c>
      <c r="B96" s="75" t="s">
        <v>171</v>
      </c>
      <c r="C96" s="75">
        <v>10</v>
      </c>
      <c r="D96" s="81">
        <v>35</v>
      </c>
      <c r="E96" s="66">
        <f t="shared" si="0"/>
        <v>4</v>
      </c>
    </row>
    <row r="97" spans="1:5" ht="15.75" customHeight="1" x14ac:dyDescent="0.2">
      <c r="A97" s="73" t="s">
        <v>113</v>
      </c>
      <c r="B97" s="75" t="s">
        <v>172</v>
      </c>
      <c r="C97" s="75">
        <v>6</v>
      </c>
      <c r="D97" s="81">
        <v>36</v>
      </c>
      <c r="E97" s="66">
        <f t="shared" si="0"/>
        <v>2.4</v>
      </c>
    </row>
    <row r="98" spans="1:5" ht="15.75" customHeight="1" x14ac:dyDescent="0.2">
      <c r="A98" s="73" t="s">
        <v>130</v>
      </c>
      <c r="B98" s="75" t="s">
        <v>120</v>
      </c>
      <c r="C98" s="75">
        <v>10</v>
      </c>
      <c r="D98" s="81">
        <v>35</v>
      </c>
      <c r="E98" s="66">
        <f t="shared" si="0"/>
        <v>4</v>
      </c>
    </row>
    <row r="99" spans="1:5" ht="15.75" customHeight="1" x14ac:dyDescent="0.2">
      <c r="A99" s="73" t="s">
        <v>130</v>
      </c>
      <c r="B99" s="75" t="s">
        <v>121</v>
      </c>
      <c r="C99" s="75">
        <v>11</v>
      </c>
      <c r="D99" s="81">
        <v>35</v>
      </c>
      <c r="E99" s="66">
        <f t="shared" si="0"/>
        <v>4.4000000000000004</v>
      </c>
    </row>
    <row r="100" spans="1:5" ht="15.75" customHeight="1" x14ac:dyDescent="0.2">
      <c r="A100" s="73" t="s">
        <v>96</v>
      </c>
      <c r="B100" s="75" t="s">
        <v>173</v>
      </c>
      <c r="C100" s="75">
        <v>1</v>
      </c>
      <c r="D100" s="81">
        <v>36</v>
      </c>
      <c r="E100" s="66">
        <f t="shared" si="0"/>
        <v>0.4</v>
      </c>
    </row>
    <row r="101" spans="1:5" ht="15.75" customHeight="1" x14ac:dyDescent="0.2">
      <c r="A101" s="73" t="s">
        <v>174</v>
      </c>
      <c r="B101" s="75" t="s">
        <v>109</v>
      </c>
      <c r="C101" s="75">
        <v>8</v>
      </c>
      <c r="D101" s="81">
        <v>35</v>
      </c>
      <c r="E101" s="66">
        <f t="shared" si="0"/>
        <v>3.2</v>
      </c>
    </row>
    <row r="102" spans="1:5" ht="15.75" customHeight="1" x14ac:dyDescent="0.2">
      <c r="A102" s="73" t="s">
        <v>96</v>
      </c>
      <c r="B102" s="75" t="s">
        <v>85</v>
      </c>
      <c r="C102" s="75">
        <v>6</v>
      </c>
      <c r="D102" s="81">
        <v>36</v>
      </c>
      <c r="E102" s="66">
        <f t="shared" si="0"/>
        <v>2.4</v>
      </c>
    </row>
    <row r="103" spans="1:5" ht="15.75" customHeight="1" x14ac:dyDescent="0.2">
      <c r="A103" s="73" t="s">
        <v>96</v>
      </c>
      <c r="B103" s="75" t="s">
        <v>175</v>
      </c>
      <c r="C103" s="75">
        <v>6</v>
      </c>
      <c r="D103" s="81">
        <v>36</v>
      </c>
      <c r="E103" s="66">
        <f t="shared" si="0"/>
        <v>2.4</v>
      </c>
    </row>
    <row r="104" spans="1:5" ht="15.75" customHeight="1" x14ac:dyDescent="0.2">
      <c r="A104" s="73" t="s">
        <v>130</v>
      </c>
      <c r="B104" s="75" t="s">
        <v>176</v>
      </c>
      <c r="C104" s="75">
        <v>10</v>
      </c>
      <c r="D104" s="81">
        <v>35</v>
      </c>
      <c r="E104" s="66">
        <f t="shared" si="0"/>
        <v>4</v>
      </c>
    </row>
    <row r="105" spans="1:5" ht="15.75" customHeight="1" x14ac:dyDescent="0.2">
      <c r="A105" s="73" t="s">
        <v>96</v>
      </c>
      <c r="B105" s="75" t="s">
        <v>177</v>
      </c>
      <c r="C105" s="75">
        <v>6</v>
      </c>
      <c r="D105" s="81">
        <v>36</v>
      </c>
      <c r="E105" s="66">
        <f t="shared" si="0"/>
        <v>2.4</v>
      </c>
    </row>
    <row r="106" spans="1:5" ht="15.75" customHeight="1" x14ac:dyDescent="0.2">
      <c r="A106" s="73" t="s">
        <v>96</v>
      </c>
      <c r="B106" s="75" t="s">
        <v>178</v>
      </c>
      <c r="C106" s="75">
        <v>6</v>
      </c>
      <c r="D106" s="81">
        <v>36</v>
      </c>
      <c r="E106" s="66">
        <f t="shared" si="0"/>
        <v>2.4</v>
      </c>
    </row>
    <row r="107" spans="1:5" ht="15.75" customHeight="1" x14ac:dyDescent="0.2">
      <c r="A107" s="73" t="s">
        <v>101</v>
      </c>
      <c r="B107" s="75" t="s">
        <v>179</v>
      </c>
      <c r="C107" s="75">
        <v>6</v>
      </c>
      <c r="D107" s="81">
        <v>36</v>
      </c>
      <c r="E107" s="66">
        <f t="shared" si="0"/>
        <v>2.4</v>
      </c>
    </row>
    <row r="108" spans="1:5" ht="15.75" customHeight="1" x14ac:dyDescent="0.2">
      <c r="A108" s="73" t="s">
        <v>131</v>
      </c>
      <c r="B108" s="75" t="s">
        <v>180</v>
      </c>
      <c r="C108" s="75">
        <v>10</v>
      </c>
      <c r="D108" s="81">
        <v>35</v>
      </c>
      <c r="E108" s="66">
        <f t="shared" si="0"/>
        <v>4</v>
      </c>
    </row>
    <row r="109" spans="1:5" ht="15.75" customHeight="1" x14ac:dyDescent="0.2">
      <c r="A109" s="73" t="s">
        <v>133</v>
      </c>
      <c r="B109" s="75" t="s">
        <v>181</v>
      </c>
      <c r="C109" s="75">
        <v>6</v>
      </c>
      <c r="D109" s="81">
        <v>36</v>
      </c>
      <c r="E109" s="66">
        <f t="shared" si="0"/>
        <v>2.4</v>
      </c>
    </row>
    <row r="110" spans="1:5" ht="15.75" customHeight="1" x14ac:dyDescent="0.2">
      <c r="A110" s="73" t="s">
        <v>101</v>
      </c>
      <c r="B110" s="75" t="s">
        <v>182</v>
      </c>
      <c r="C110" s="75">
        <v>5</v>
      </c>
      <c r="D110" s="81">
        <v>36</v>
      </c>
      <c r="E110" s="66">
        <f t="shared" si="0"/>
        <v>2</v>
      </c>
    </row>
    <row r="111" spans="1:5" ht="15.75" customHeight="1" x14ac:dyDescent="0.2">
      <c r="A111" s="73" t="s">
        <v>101</v>
      </c>
      <c r="B111" s="75" t="s">
        <v>183</v>
      </c>
      <c r="C111" s="75">
        <v>6</v>
      </c>
      <c r="D111" s="81">
        <v>36</v>
      </c>
      <c r="E111" s="66">
        <f t="shared" si="0"/>
        <v>2.4</v>
      </c>
    </row>
    <row r="112" spans="1:5" ht="15.75" customHeight="1" x14ac:dyDescent="0.2">
      <c r="A112" s="13" t="s">
        <v>96</v>
      </c>
      <c r="B112" s="38" t="s">
        <v>184</v>
      </c>
      <c r="C112" s="13">
        <v>6</v>
      </c>
      <c r="D112" s="81">
        <v>36</v>
      </c>
      <c r="E112" s="66">
        <f t="shared" si="0"/>
        <v>2.4</v>
      </c>
    </row>
    <row r="113" spans="1:6" ht="15.75" customHeight="1" x14ac:dyDescent="0.2">
      <c r="A113" s="73" t="s">
        <v>101</v>
      </c>
      <c r="B113" s="75" t="s">
        <v>185</v>
      </c>
      <c r="C113" s="75">
        <v>5</v>
      </c>
      <c r="D113" s="81">
        <v>36</v>
      </c>
      <c r="E113" s="66">
        <f t="shared" si="0"/>
        <v>2</v>
      </c>
    </row>
    <row r="114" spans="1:6" ht="15.75" customHeight="1" x14ac:dyDescent="0.2">
      <c r="A114" s="73" t="s">
        <v>131</v>
      </c>
      <c r="B114" s="75" t="s">
        <v>186</v>
      </c>
      <c r="C114" s="75">
        <v>10</v>
      </c>
      <c r="D114" s="81">
        <v>35</v>
      </c>
      <c r="E114" s="66">
        <f t="shared" si="0"/>
        <v>4</v>
      </c>
    </row>
    <row r="115" spans="1:6" ht="15.75" customHeight="1" x14ac:dyDescent="0.2">
      <c r="A115" s="73" t="s">
        <v>132</v>
      </c>
      <c r="B115" s="75" t="s">
        <v>187</v>
      </c>
      <c r="C115" s="75">
        <v>6</v>
      </c>
      <c r="D115" s="81">
        <v>36</v>
      </c>
      <c r="E115" s="66">
        <f t="shared" si="0"/>
        <v>2.4</v>
      </c>
    </row>
    <row r="116" spans="1:6" ht="15.75" customHeight="1" x14ac:dyDescent="0.2">
      <c r="A116" s="73" t="s">
        <v>133</v>
      </c>
      <c r="B116" s="75" t="s">
        <v>188</v>
      </c>
      <c r="C116" s="75">
        <v>6</v>
      </c>
      <c r="D116" s="81">
        <v>36</v>
      </c>
      <c r="E116" s="66">
        <f t="shared" si="0"/>
        <v>2.4</v>
      </c>
    </row>
    <row r="117" spans="1:6" ht="15.75" customHeight="1" x14ac:dyDescent="0.2">
      <c r="A117" s="73" t="s">
        <v>96</v>
      </c>
      <c r="B117" s="75" t="s">
        <v>189</v>
      </c>
      <c r="C117" s="75">
        <v>5</v>
      </c>
      <c r="D117" s="81">
        <v>36</v>
      </c>
      <c r="E117" s="66">
        <f t="shared" si="0"/>
        <v>2</v>
      </c>
    </row>
    <row r="118" spans="1:6" ht="15.75" customHeight="1" x14ac:dyDescent="0.2">
      <c r="A118" s="73" t="s">
        <v>133</v>
      </c>
      <c r="B118" s="75" t="s">
        <v>190</v>
      </c>
      <c r="C118" s="75">
        <v>6</v>
      </c>
      <c r="D118" s="81">
        <v>36</v>
      </c>
      <c r="E118" s="66">
        <f t="shared" si="0"/>
        <v>2.4</v>
      </c>
    </row>
    <row r="119" spans="1:6" ht="15.75" customHeight="1" x14ac:dyDescent="0.2"/>
    <row r="120" spans="1:6" ht="15.75" customHeight="1" x14ac:dyDescent="0.2">
      <c r="B120" s="67" t="s">
        <v>3</v>
      </c>
      <c r="C120" s="67">
        <f t="shared" ref="C120:E120" si="1">SUM(C2:C118)</f>
        <v>734</v>
      </c>
      <c r="D120" s="68">
        <f t="shared" si="1"/>
        <v>4187</v>
      </c>
      <c r="E120" s="68">
        <f t="shared" si="1"/>
        <v>293.59999999999991</v>
      </c>
      <c r="F120" s="61"/>
    </row>
    <row r="121" spans="1:6" ht="15.75" customHeight="1" x14ac:dyDescent="0.2"/>
    <row r="122" spans="1:6" ht="15.75" customHeight="1" x14ac:dyDescent="0.2"/>
    <row r="123" spans="1:6" ht="15.75" customHeight="1" x14ac:dyDescent="0.2"/>
    <row r="124" spans="1:6" ht="15.75" customHeight="1" x14ac:dyDescent="0.2">
      <c r="A124" s="50" t="s">
        <v>2</v>
      </c>
      <c r="B124" s="70">
        <v>20</v>
      </c>
      <c r="C124" s="71">
        <v>0.02</v>
      </c>
    </row>
    <row r="125" spans="1:6" ht="15.75" customHeight="1" x14ac:dyDescent="0.2">
      <c r="A125" s="64"/>
      <c r="B125" s="64"/>
      <c r="C125" s="63"/>
      <c r="D125" s="72"/>
      <c r="E125" s="66"/>
    </row>
    <row r="126" spans="1:6" ht="15.75" customHeight="1" x14ac:dyDescent="0.2">
      <c r="A126" s="64"/>
      <c r="B126" s="64"/>
      <c r="C126" s="63"/>
      <c r="D126" s="72"/>
      <c r="E126" s="66"/>
    </row>
    <row r="127" spans="1:6" ht="15.75" customHeight="1" x14ac:dyDescent="0.2">
      <c r="A127" s="64"/>
      <c r="B127" s="64"/>
      <c r="C127" s="63"/>
      <c r="D127" s="72"/>
      <c r="E127" s="66"/>
    </row>
    <row r="128" spans="1:6" ht="15.75" customHeight="1" x14ac:dyDescent="0.2">
      <c r="A128" s="64"/>
      <c r="B128" s="64"/>
      <c r="C128" s="63"/>
      <c r="D128" s="72"/>
      <c r="E128" s="66"/>
    </row>
    <row r="129" spans="1:5" ht="15.75" customHeight="1" x14ac:dyDescent="0.2">
      <c r="A129" s="64"/>
      <c r="B129" s="64"/>
      <c r="C129" s="63"/>
      <c r="D129" s="72"/>
      <c r="E129" s="66"/>
    </row>
    <row r="130" spans="1:5" ht="15.75" customHeight="1" x14ac:dyDescent="0.2">
      <c r="A130" s="64"/>
      <c r="B130" s="64"/>
      <c r="C130" s="63"/>
      <c r="D130" s="72"/>
      <c r="E130" s="66"/>
    </row>
    <row r="131" spans="1:5" ht="15.75" customHeight="1" x14ac:dyDescent="0.2">
      <c r="A131" s="64"/>
      <c r="B131" s="64"/>
      <c r="C131" s="63"/>
      <c r="D131" s="63"/>
      <c r="E131" s="66"/>
    </row>
    <row r="132" spans="1:5" ht="15.75" customHeight="1" x14ac:dyDescent="0.2">
      <c r="A132" s="64"/>
      <c r="B132" s="64"/>
      <c r="C132" s="63"/>
      <c r="D132" s="63"/>
      <c r="E132" s="66"/>
    </row>
    <row r="133" spans="1:5" ht="15.75" customHeight="1" x14ac:dyDescent="0.2">
      <c r="A133" s="64"/>
      <c r="B133" s="64"/>
      <c r="C133" s="63"/>
      <c r="D133" s="63"/>
      <c r="E133" s="66"/>
    </row>
    <row r="134" spans="1:5" ht="15.75" customHeight="1" x14ac:dyDescent="0.2"/>
    <row r="135" spans="1:5" ht="15.75" customHeight="1" x14ac:dyDescent="0.2"/>
    <row r="136" spans="1:5" ht="15.75" customHeight="1" x14ac:dyDescent="0.2"/>
    <row r="137" spans="1:5" ht="15.75" customHeight="1" x14ac:dyDescent="0.2"/>
    <row r="138" spans="1:5" ht="15.75" customHeight="1" x14ac:dyDescent="0.2"/>
    <row r="139" spans="1:5" ht="15.75" customHeight="1" x14ac:dyDescent="0.2"/>
    <row r="140" spans="1:5" ht="15.75" customHeight="1" x14ac:dyDescent="0.2"/>
    <row r="141" spans="1:5" ht="15.75" customHeight="1" x14ac:dyDescent="0.2">
      <c r="A141" s="64"/>
      <c r="B141" s="64"/>
      <c r="C141" s="63"/>
      <c r="D141" s="63"/>
      <c r="E141" s="66"/>
    </row>
    <row r="142" spans="1:5" ht="15.75" customHeight="1" x14ac:dyDescent="0.2">
      <c r="A142" s="64"/>
      <c r="B142" s="64"/>
      <c r="C142" s="63"/>
      <c r="D142" s="63"/>
      <c r="E142" s="66"/>
    </row>
    <row r="143" spans="1:5" ht="15.75" customHeight="1" x14ac:dyDescent="0.2">
      <c r="A143" s="64"/>
      <c r="B143" s="64"/>
      <c r="C143" s="63"/>
      <c r="D143" s="63"/>
      <c r="E143" s="66"/>
    </row>
    <row r="144" spans="1:5" ht="15.75" customHeight="1" x14ac:dyDescent="0.2">
      <c r="A144" s="64"/>
      <c r="B144" s="64"/>
      <c r="C144" s="63"/>
      <c r="D144" s="63"/>
      <c r="E144" s="66"/>
    </row>
    <row r="145" spans="1:5" ht="15.75" customHeight="1" x14ac:dyDescent="0.2">
      <c r="A145" s="64"/>
      <c r="B145" s="64"/>
      <c r="C145" s="63"/>
      <c r="D145" s="63"/>
      <c r="E145" s="66"/>
    </row>
    <row r="146" spans="1:5" ht="15.75" customHeight="1" x14ac:dyDescent="0.2">
      <c r="A146" s="64"/>
      <c r="B146" s="64"/>
      <c r="C146" s="63"/>
      <c r="D146" s="63"/>
      <c r="E146" s="66"/>
    </row>
    <row r="147" spans="1:5" ht="15.75" customHeight="1" x14ac:dyDescent="0.2">
      <c r="A147" s="64"/>
      <c r="B147" s="64"/>
      <c r="C147" s="63"/>
      <c r="D147" s="63"/>
      <c r="E147" s="66"/>
    </row>
    <row r="148" spans="1:5" ht="15.75" customHeight="1" x14ac:dyDescent="0.2"/>
    <row r="149" spans="1:5" ht="15.75" customHeight="1" x14ac:dyDescent="0.2"/>
    <row r="150" spans="1:5" ht="15.75" customHeight="1" x14ac:dyDescent="0.2"/>
    <row r="151" spans="1:5" ht="15.75" customHeight="1" x14ac:dyDescent="0.2"/>
    <row r="152" spans="1:5" ht="15.75" customHeight="1" x14ac:dyDescent="0.2"/>
    <row r="153" spans="1:5" ht="15.75" customHeight="1" x14ac:dyDescent="0.2"/>
    <row r="154" spans="1:5" ht="15.75" customHeight="1" x14ac:dyDescent="0.2"/>
    <row r="155" spans="1:5" ht="15.75" customHeight="1" x14ac:dyDescent="0.2"/>
    <row r="156" spans="1:5" ht="15.75" customHeight="1" x14ac:dyDescent="0.2"/>
    <row r="157" spans="1:5" ht="15.75" customHeight="1" x14ac:dyDescent="0.2"/>
    <row r="158" spans="1:5" ht="15.75" customHeight="1" x14ac:dyDescent="0.2"/>
    <row r="159" spans="1:5" ht="15.75" customHeight="1" x14ac:dyDescent="0.2"/>
    <row r="160" spans="1:5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  <row r="1012" ht="15.75" customHeight="1" x14ac:dyDescent="0.2"/>
    <row r="1013" ht="15.75" customHeight="1" x14ac:dyDescent="0.2"/>
    <row r="1014" ht="15.75" customHeight="1" x14ac:dyDescent="0.2"/>
    <row r="1015" ht="15.75" customHeight="1" x14ac:dyDescent="0.2"/>
    <row r="1016" ht="15.75" customHeight="1" x14ac:dyDescent="0.2"/>
    <row r="1017" ht="15.75" customHeight="1" x14ac:dyDescent="0.2"/>
    <row r="1018" ht="15.75" customHeight="1" x14ac:dyDescent="0.2"/>
    <row r="1019" ht="15.75" customHeight="1" x14ac:dyDescent="0.2"/>
    <row r="1020" ht="15.75" customHeight="1" x14ac:dyDescent="0.2"/>
    <row r="1021" ht="15.75" customHeight="1" x14ac:dyDescent="0.2"/>
    <row r="1022" ht="15.75" customHeight="1" x14ac:dyDescent="0.2"/>
    <row r="1023" ht="15.75" customHeight="1" x14ac:dyDescent="0.2"/>
    <row r="1024" ht="15.75" customHeight="1" x14ac:dyDescent="0.2"/>
    <row r="1025" ht="15.75" customHeight="1" x14ac:dyDescent="0.2"/>
    <row r="1026" ht="15.75" customHeight="1" x14ac:dyDescent="0.2"/>
    <row r="1027" ht="15.75" customHeight="1" x14ac:dyDescent="0.2"/>
    <row r="1028" ht="15.75" customHeight="1" x14ac:dyDescent="0.2"/>
    <row r="1029" ht="15.75" customHeight="1" x14ac:dyDescent="0.2"/>
    <row r="1030" ht="15.75" customHeight="1" x14ac:dyDescent="0.2"/>
    <row r="1031" ht="15.75" customHeight="1" x14ac:dyDescent="0.2"/>
    <row r="1032" ht="15.75" customHeight="1" x14ac:dyDescent="0.2"/>
    <row r="1033" ht="15.75" customHeight="1" x14ac:dyDescent="0.2"/>
    <row r="1034" ht="15.75" customHeight="1" x14ac:dyDescent="0.2"/>
    <row r="1035" ht="15.75" customHeight="1" x14ac:dyDescent="0.2"/>
    <row r="1036" ht="15.75" customHeight="1" x14ac:dyDescent="0.2"/>
    <row r="1037" ht="15.75" customHeight="1" x14ac:dyDescent="0.2"/>
    <row r="1038" ht="15.75" customHeight="1" x14ac:dyDescent="0.2"/>
    <row r="1039" ht="15.75" customHeight="1" x14ac:dyDescent="0.2"/>
    <row r="1040" ht="15.75" customHeight="1" x14ac:dyDescent="0.2"/>
    <row r="1041" ht="15.75" customHeight="1" x14ac:dyDescent="0.2"/>
    <row r="1042" ht="15.75" customHeight="1" x14ac:dyDescent="0.2"/>
    <row r="1043" ht="15.75" customHeight="1" x14ac:dyDescent="0.2"/>
    <row r="1044" ht="15.75" customHeight="1" x14ac:dyDescent="0.2"/>
    <row r="1045" ht="15.75" customHeight="1" x14ac:dyDescent="0.2"/>
    <row r="1046" ht="15.75" customHeight="1" x14ac:dyDescent="0.2"/>
    <row r="1047" ht="15.75" customHeight="1" x14ac:dyDescent="0.2"/>
    <row r="1048" ht="15.75" customHeight="1" x14ac:dyDescent="0.2"/>
    <row r="1049" ht="15.75" customHeight="1" x14ac:dyDescent="0.2"/>
    <row r="1050" ht="15.75" customHeight="1" x14ac:dyDescent="0.2"/>
    <row r="1051" ht="15.75" customHeight="1" x14ac:dyDescent="0.2"/>
    <row r="1052" ht="15.75" customHeight="1" x14ac:dyDescent="0.2"/>
    <row r="1053" ht="15.75" customHeight="1" x14ac:dyDescent="0.2"/>
    <row r="1054" ht="15.75" customHeight="1" x14ac:dyDescent="0.2"/>
    <row r="1055" ht="15.75" customHeight="1" x14ac:dyDescent="0.2"/>
    <row r="1056" ht="15.75" customHeight="1" x14ac:dyDescent="0.2"/>
    <row r="1057" ht="15.75" customHeight="1" x14ac:dyDescent="0.2"/>
    <row r="1058" ht="15.75" customHeight="1" x14ac:dyDescent="0.2"/>
    <row r="1059" ht="15.75" customHeight="1" x14ac:dyDescent="0.2"/>
    <row r="1060" ht="15.75" customHeight="1" x14ac:dyDescent="0.2"/>
    <row r="1061" ht="15.75" customHeight="1" x14ac:dyDescent="0.2"/>
    <row r="1062" ht="15.75" customHeight="1" x14ac:dyDescent="0.2"/>
    <row r="1063" ht="15.75" customHeight="1" x14ac:dyDescent="0.2"/>
    <row r="1064" ht="15.75" customHeight="1" x14ac:dyDescent="0.2"/>
    <row r="1065" ht="15.75" customHeight="1" x14ac:dyDescent="0.2"/>
    <row r="1066" ht="15.75" customHeight="1" x14ac:dyDescent="0.2"/>
    <row r="1067" ht="15.75" customHeight="1" x14ac:dyDescent="0.2"/>
    <row r="1068" ht="15.75" customHeight="1" x14ac:dyDescent="0.2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E988"/>
  <sheetViews>
    <sheetView workbookViewId="0"/>
  </sheetViews>
  <sheetFormatPr baseColWidth="10" defaultColWidth="11.1640625" defaultRowHeight="15" customHeight="1" x14ac:dyDescent="0.2"/>
  <sheetData>
    <row r="1" spans="1:5" ht="16" x14ac:dyDescent="0.2">
      <c r="A1" s="62" t="s">
        <v>53</v>
      </c>
      <c r="B1" s="63" t="s">
        <v>54</v>
      </c>
      <c r="C1" s="62" t="s">
        <v>55</v>
      </c>
      <c r="D1" s="62" t="s">
        <v>29</v>
      </c>
      <c r="E1" s="62" t="s">
        <v>56</v>
      </c>
    </row>
    <row r="2" spans="1:5" ht="16" x14ac:dyDescent="0.2">
      <c r="A2" s="73" t="s">
        <v>96</v>
      </c>
      <c r="B2" s="74">
        <v>46174.333333333336</v>
      </c>
      <c r="C2" s="75">
        <v>3</v>
      </c>
      <c r="D2" s="81">
        <v>30</v>
      </c>
      <c r="E2" s="66">
        <f t="shared" ref="E2:E16" si="0">C2*$B$24*$C$24</f>
        <v>1.2</v>
      </c>
    </row>
    <row r="3" spans="1:5" ht="16" x14ac:dyDescent="0.2">
      <c r="A3" s="73" t="s">
        <v>96</v>
      </c>
      <c r="B3" s="74">
        <v>46174.375</v>
      </c>
      <c r="C3" s="75">
        <v>3</v>
      </c>
      <c r="D3" s="81">
        <v>30</v>
      </c>
      <c r="E3" s="66">
        <f t="shared" si="0"/>
        <v>1.2</v>
      </c>
    </row>
    <row r="4" spans="1:5" ht="16" x14ac:dyDescent="0.2">
      <c r="A4" s="73" t="s">
        <v>96</v>
      </c>
      <c r="B4" s="74">
        <v>46174.416666666664</v>
      </c>
      <c r="C4" s="75">
        <v>6</v>
      </c>
      <c r="D4" s="81">
        <v>30</v>
      </c>
      <c r="E4" s="66">
        <f t="shared" si="0"/>
        <v>2.4</v>
      </c>
    </row>
    <row r="5" spans="1:5" ht="16" x14ac:dyDescent="0.2">
      <c r="A5" s="73" t="s">
        <v>96</v>
      </c>
      <c r="B5" s="74">
        <v>46174.458333333336</v>
      </c>
      <c r="C5" s="75">
        <v>5</v>
      </c>
      <c r="D5" s="81">
        <v>30</v>
      </c>
      <c r="E5" s="66">
        <f t="shared" si="0"/>
        <v>2</v>
      </c>
    </row>
    <row r="6" spans="1:5" ht="16" x14ac:dyDescent="0.2">
      <c r="A6" s="73" t="s">
        <v>96</v>
      </c>
      <c r="B6" s="74">
        <v>46174.708333333336</v>
      </c>
      <c r="C6" s="75">
        <v>3</v>
      </c>
      <c r="D6" s="81">
        <v>30</v>
      </c>
      <c r="E6" s="66">
        <f t="shared" si="0"/>
        <v>1.2</v>
      </c>
    </row>
    <row r="7" spans="1:5" ht="16" x14ac:dyDescent="0.2">
      <c r="A7" s="73" t="s">
        <v>96</v>
      </c>
      <c r="B7" s="74">
        <v>46204.333333333336</v>
      </c>
      <c r="C7" s="75">
        <v>1</v>
      </c>
      <c r="D7" s="81">
        <v>30</v>
      </c>
      <c r="E7" s="66">
        <f t="shared" si="0"/>
        <v>0.4</v>
      </c>
    </row>
    <row r="8" spans="1:5" ht="16" x14ac:dyDescent="0.2">
      <c r="A8" s="73" t="s">
        <v>191</v>
      </c>
      <c r="B8" s="74">
        <v>46204.375</v>
      </c>
      <c r="C8" s="75">
        <v>6</v>
      </c>
      <c r="D8" s="81">
        <v>30</v>
      </c>
      <c r="E8" s="66">
        <f t="shared" si="0"/>
        <v>2.4</v>
      </c>
    </row>
    <row r="9" spans="1:5" ht="16" x14ac:dyDescent="0.2">
      <c r="A9" s="73" t="s">
        <v>96</v>
      </c>
      <c r="B9" s="74">
        <v>46235.333333333336</v>
      </c>
      <c r="C9" s="75">
        <v>4</v>
      </c>
      <c r="D9" s="81">
        <v>30</v>
      </c>
      <c r="E9" s="66">
        <f t="shared" si="0"/>
        <v>1.6</v>
      </c>
    </row>
    <row r="10" spans="1:5" ht="16" x14ac:dyDescent="0.2">
      <c r="A10" s="73" t="s">
        <v>96</v>
      </c>
      <c r="B10" s="74">
        <v>46235.375</v>
      </c>
      <c r="C10" s="75">
        <v>2</v>
      </c>
      <c r="D10" s="81">
        <v>30</v>
      </c>
      <c r="E10" s="66">
        <f t="shared" si="0"/>
        <v>0.8</v>
      </c>
    </row>
    <row r="11" spans="1:5" ht="16" x14ac:dyDescent="0.2">
      <c r="A11" s="73" t="s">
        <v>96</v>
      </c>
      <c r="B11" s="74">
        <v>46235.416666666664</v>
      </c>
      <c r="C11" s="75">
        <v>6</v>
      </c>
      <c r="D11" s="81">
        <v>30</v>
      </c>
      <c r="E11" s="66">
        <f t="shared" si="0"/>
        <v>2.4</v>
      </c>
    </row>
    <row r="12" spans="1:5" ht="16" x14ac:dyDescent="0.2">
      <c r="A12" s="73" t="s">
        <v>96</v>
      </c>
      <c r="B12" s="74">
        <v>46235.708333333336</v>
      </c>
      <c r="C12" s="75">
        <v>6</v>
      </c>
      <c r="D12" s="81">
        <v>30</v>
      </c>
      <c r="E12" s="66">
        <f t="shared" si="0"/>
        <v>2.4</v>
      </c>
    </row>
    <row r="13" spans="1:5" ht="16" x14ac:dyDescent="0.2">
      <c r="A13" s="73" t="s">
        <v>96</v>
      </c>
      <c r="B13" s="73" t="s">
        <v>166</v>
      </c>
      <c r="C13" s="75">
        <v>5</v>
      </c>
      <c r="D13" s="81">
        <v>30</v>
      </c>
      <c r="E13" s="66">
        <f t="shared" si="0"/>
        <v>2</v>
      </c>
    </row>
    <row r="14" spans="1:5" ht="16" x14ac:dyDescent="0.2">
      <c r="A14" s="73" t="s">
        <v>96</v>
      </c>
      <c r="B14" s="73" t="s">
        <v>167</v>
      </c>
      <c r="C14" s="75">
        <v>4</v>
      </c>
      <c r="D14" s="81">
        <v>30</v>
      </c>
      <c r="E14" s="66">
        <f t="shared" si="0"/>
        <v>1.6</v>
      </c>
    </row>
    <row r="15" spans="1:5" ht="16" x14ac:dyDescent="0.2">
      <c r="A15" s="73" t="s">
        <v>96</v>
      </c>
      <c r="B15" s="73" t="s">
        <v>169</v>
      </c>
      <c r="C15" s="75">
        <v>3</v>
      </c>
      <c r="D15" s="81">
        <v>30</v>
      </c>
      <c r="E15" s="66">
        <f t="shared" si="0"/>
        <v>1.2</v>
      </c>
    </row>
    <row r="16" spans="1:5" ht="16" x14ac:dyDescent="0.2">
      <c r="A16" s="73" t="s">
        <v>96</v>
      </c>
      <c r="B16" s="73" t="s">
        <v>192</v>
      </c>
      <c r="C16" s="75">
        <v>3</v>
      </c>
      <c r="D16" s="81">
        <v>30</v>
      </c>
      <c r="E16" s="66">
        <f t="shared" si="0"/>
        <v>1.2</v>
      </c>
    </row>
    <row r="17" spans="1:5" ht="15.75" customHeight="1" x14ac:dyDescent="0.2"/>
    <row r="18" spans="1:5" ht="15.75" customHeight="1" x14ac:dyDescent="0.2"/>
    <row r="19" spans="1:5" ht="15.75" customHeight="1" x14ac:dyDescent="0.2"/>
    <row r="20" spans="1:5" ht="15.75" customHeight="1" x14ac:dyDescent="0.2">
      <c r="B20" s="67" t="s">
        <v>3</v>
      </c>
      <c r="C20" s="67">
        <f>SUM(C2:C16)</f>
        <v>60</v>
      </c>
      <c r="D20" s="68">
        <f t="shared" ref="D20:E20" si="1">SUM(D1:D16)</f>
        <v>450</v>
      </c>
      <c r="E20" s="69">
        <f t="shared" si="1"/>
        <v>24</v>
      </c>
    </row>
    <row r="21" spans="1:5" ht="15.75" customHeight="1" x14ac:dyDescent="0.2"/>
    <row r="22" spans="1:5" ht="15.75" customHeight="1" x14ac:dyDescent="0.2"/>
    <row r="23" spans="1:5" ht="15.75" customHeight="1" x14ac:dyDescent="0.2"/>
    <row r="24" spans="1:5" ht="15.75" customHeight="1" x14ac:dyDescent="0.2">
      <c r="A24" s="50" t="s">
        <v>2</v>
      </c>
      <c r="B24" s="70">
        <v>20</v>
      </c>
      <c r="C24" s="71">
        <v>0.02</v>
      </c>
    </row>
    <row r="25" spans="1:5" ht="15.75" customHeight="1" x14ac:dyDescent="0.2"/>
    <row r="26" spans="1:5" ht="15.75" customHeight="1" x14ac:dyDescent="0.2"/>
    <row r="27" spans="1:5" ht="15.75" customHeight="1" x14ac:dyDescent="0.2"/>
    <row r="28" spans="1:5" ht="15.75" customHeight="1" x14ac:dyDescent="0.2"/>
    <row r="29" spans="1:5" ht="15.75" customHeight="1" x14ac:dyDescent="0.2"/>
    <row r="30" spans="1:5" ht="15.75" customHeight="1" x14ac:dyDescent="0.2"/>
    <row r="31" spans="1:5" ht="15.75" customHeight="1" x14ac:dyDescent="0.2"/>
    <row r="32" spans="1: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E989"/>
  <sheetViews>
    <sheetView workbookViewId="0"/>
  </sheetViews>
  <sheetFormatPr baseColWidth="10" defaultColWidth="11.1640625" defaultRowHeight="15" customHeight="1" x14ac:dyDescent="0.2"/>
  <sheetData>
    <row r="1" spans="1:5" ht="16" x14ac:dyDescent="0.2">
      <c r="A1" s="62" t="s">
        <v>53</v>
      </c>
      <c r="B1" s="63" t="s">
        <v>54</v>
      </c>
      <c r="C1" s="62" t="s">
        <v>55</v>
      </c>
      <c r="D1" s="62" t="s">
        <v>29</v>
      </c>
      <c r="E1" s="62" t="s">
        <v>56</v>
      </c>
    </row>
    <row r="2" spans="1:5" ht="16" x14ac:dyDescent="0.2">
      <c r="A2" s="64" t="s">
        <v>93</v>
      </c>
      <c r="B2" s="79">
        <v>46054.416666666664</v>
      </c>
      <c r="C2" s="75">
        <v>7</v>
      </c>
      <c r="D2" s="63">
        <v>35</v>
      </c>
      <c r="E2" s="66">
        <f t="shared" ref="E2:E11" si="0">C2*$B$18*$C$18</f>
        <v>2.8000000000000003</v>
      </c>
    </row>
    <row r="3" spans="1:5" ht="16" x14ac:dyDescent="0.2">
      <c r="A3" s="64" t="s">
        <v>193</v>
      </c>
      <c r="B3" s="79">
        <v>46113.458333333336</v>
      </c>
      <c r="C3" s="75">
        <v>3</v>
      </c>
      <c r="D3" s="63">
        <v>35</v>
      </c>
      <c r="E3" s="66">
        <f t="shared" si="0"/>
        <v>1.2</v>
      </c>
    </row>
    <row r="4" spans="1:5" ht="16" x14ac:dyDescent="0.2">
      <c r="A4" s="64" t="s">
        <v>93</v>
      </c>
      <c r="B4" s="79">
        <v>46204.708333333336</v>
      </c>
      <c r="C4" s="75">
        <v>4</v>
      </c>
      <c r="D4" s="63">
        <v>35</v>
      </c>
      <c r="E4" s="66">
        <f t="shared" si="0"/>
        <v>1.6</v>
      </c>
    </row>
    <row r="5" spans="1:5" ht="16" x14ac:dyDescent="0.2">
      <c r="A5" s="64" t="s">
        <v>93</v>
      </c>
      <c r="B5" s="79">
        <v>46266.416666666664</v>
      </c>
      <c r="C5" s="75">
        <v>10</v>
      </c>
      <c r="D5" s="63">
        <v>35</v>
      </c>
      <c r="E5" s="66">
        <f t="shared" si="0"/>
        <v>4</v>
      </c>
    </row>
    <row r="6" spans="1:5" ht="16" x14ac:dyDescent="0.2">
      <c r="A6" s="64" t="s">
        <v>193</v>
      </c>
      <c r="B6" s="79">
        <v>46327.458333333336</v>
      </c>
      <c r="C6" s="75">
        <v>7</v>
      </c>
      <c r="D6" s="63">
        <v>35</v>
      </c>
      <c r="E6" s="66">
        <f t="shared" si="0"/>
        <v>2.8000000000000003</v>
      </c>
    </row>
    <row r="7" spans="1:5" ht="16" x14ac:dyDescent="0.2">
      <c r="A7" s="64" t="s">
        <v>93</v>
      </c>
      <c r="B7" s="64" t="s">
        <v>194</v>
      </c>
      <c r="C7" s="75">
        <v>4</v>
      </c>
      <c r="D7" s="63">
        <v>35</v>
      </c>
      <c r="E7" s="66">
        <f t="shared" si="0"/>
        <v>1.6</v>
      </c>
    </row>
    <row r="8" spans="1:5" ht="16" x14ac:dyDescent="0.2">
      <c r="A8" s="64" t="s">
        <v>93</v>
      </c>
      <c r="B8" s="64" t="s">
        <v>161</v>
      </c>
      <c r="C8" s="75">
        <v>6</v>
      </c>
      <c r="D8" s="63">
        <v>35</v>
      </c>
      <c r="E8" s="66">
        <f t="shared" si="0"/>
        <v>2.4</v>
      </c>
    </row>
    <row r="9" spans="1:5" ht="16" x14ac:dyDescent="0.2">
      <c r="A9" s="64" t="s">
        <v>93</v>
      </c>
      <c r="B9" s="64" t="s">
        <v>195</v>
      </c>
      <c r="C9" s="75">
        <v>4</v>
      </c>
      <c r="D9" s="63">
        <v>35</v>
      </c>
      <c r="E9" s="66">
        <f t="shared" si="0"/>
        <v>1.6</v>
      </c>
    </row>
    <row r="10" spans="1:5" ht="16" x14ac:dyDescent="0.2">
      <c r="A10" s="64" t="s">
        <v>93</v>
      </c>
      <c r="B10" s="64" t="s">
        <v>196</v>
      </c>
      <c r="C10" s="75">
        <v>2</v>
      </c>
      <c r="D10" s="63">
        <v>35</v>
      </c>
      <c r="E10" s="66">
        <f t="shared" si="0"/>
        <v>0.8</v>
      </c>
    </row>
    <row r="11" spans="1:5" ht="16" x14ac:dyDescent="0.2">
      <c r="A11" s="64" t="s">
        <v>93</v>
      </c>
      <c r="B11" s="64" t="s">
        <v>197</v>
      </c>
      <c r="C11" s="75">
        <v>5</v>
      </c>
      <c r="D11" s="63">
        <v>35</v>
      </c>
      <c r="E11" s="66">
        <f t="shared" si="0"/>
        <v>2</v>
      </c>
    </row>
    <row r="12" spans="1:5" ht="15.75" customHeight="1" x14ac:dyDescent="0.2">
      <c r="A12" s="50"/>
      <c r="B12" s="50"/>
      <c r="C12" s="50"/>
      <c r="D12" s="77"/>
      <c r="E12" s="66"/>
    </row>
    <row r="13" spans="1:5" ht="15.75" customHeight="1" x14ac:dyDescent="0.2">
      <c r="A13" s="50"/>
      <c r="B13" s="67"/>
      <c r="C13" s="67"/>
      <c r="D13" s="68"/>
      <c r="E13" s="67"/>
    </row>
    <row r="14" spans="1:5" ht="15.75" customHeight="1" x14ac:dyDescent="0.2">
      <c r="B14" s="67" t="s">
        <v>3</v>
      </c>
      <c r="C14" s="67">
        <f>SUM(C2:C12)</f>
        <v>52</v>
      </c>
      <c r="D14" s="68">
        <f t="shared" ref="D14:E14" si="1">SUM(D2:D13)</f>
        <v>350</v>
      </c>
      <c r="E14" s="69">
        <f t="shared" si="1"/>
        <v>20.8</v>
      </c>
    </row>
    <row r="15" spans="1:5" ht="15.75" customHeight="1" x14ac:dyDescent="0.2"/>
    <row r="16" spans="1:5" ht="15.75" customHeight="1" x14ac:dyDescent="0.2"/>
    <row r="17" spans="1:3" ht="15.75" customHeight="1" x14ac:dyDescent="0.2"/>
    <row r="18" spans="1:3" ht="15.75" customHeight="1" x14ac:dyDescent="0.2">
      <c r="A18" s="50" t="s">
        <v>2</v>
      </c>
      <c r="B18" s="70">
        <v>20</v>
      </c>
      <c r="C18" s="71">
        <v>0.02</v>
      </c>
    </row>
    <row r="19" spans="1:3" ht="15.75" customHeight="1" x14ac:dyDescent="0.2"/>
    <row r="20" spans="1:3" ht="15.75" customHeight="1" x14ac:dyDescent="0.2"/>
    <row r="21" spans="1:3" ht="15.75" customHeight="1" x14ac:dyDescent="0.2"/>
    <row r="22" spans="1:3" ht="15.75" customHeight="1" x14ac:dyDescent="0.2"/>
    <row r="23" spans="1:3" ht="15.75" customHeight="1" x14ac:dyDescent="0.2"/>
    <row r="24" spans="1:3" ht="15.75" customHeight="1" x14ac:dyDescent="0.2"/>
    <row r="25" spans="1:3" ht="15.75" customHeight="1" x14ac:dyDescent="0.2"/>
    <row r="26" spans="1:3" ht="15.75" customHeight="1" x14ac:dyDescent="0.2"/>
    <row r="27" spans="1:3" ht="15.75" customHeight="1" x14ac:dyDescent="0.2"/>
    <row r="28" spans="1:3" ht="15.75" customHeight="1" x14ac:dyDescent="0.2"/>
    <row r="29" spans="1:3" ht="15.75" customHeight="1" x14ac:dyDescent="0.2"/>
    <row r="30" spans="1:3" ht="15.75" customHeight="1" x14ac:dyDescent="0.2"/>
    <row r="31" spans="1:3" ht="15.75" customHeight="1" x14ac:dyDescent="0.2"/>
    <row r="32" spans="1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E924"/>
  <sheetViews>
    <sheetView workbookViewId="0"/>
  </sheetViews>
  <sheetFormatPr baseColWidth="10" defaultColWidth="11.1640625" defaultRowHeight="15" customHeight="1" x14ac:dyDescent="0.2"/>
  <cols>
    <col min="1" max="1" width="14.83203125" customWidth="1"/>
    <col min="2" max="2" width="19.1640625" customWidth="1"/>
  </cols>
  <sheetData>
    <row r="1" spans="1:5" ht="16" x14ac:dyDescent="0.2">
      <c r="A1" s="62" t="s">
        <v>53</v>
      </c>
      <c r="B1" s="63" t="s">
        <v>54</v>
      </c>
      <c r="C1" s="62" t="s">
        <v>55</v>
      </c>
      <c r="D1" s="62" t="s">
        <v>29</v>
      </c>
      <c r="E1" s="62" t="s">
        <v>56</v>
      </c>
    </row>
    <row r="2" spans="1:5" ht="16" x14ac:dyDescent="0.2">
      <c r="A2" s="64" t="s">
        <v>96</v>
      </c>
      <c r="B2" s="65">
        <v>46357.333333333336</v>
      </c>
      <c r="C2" s="75">
        <v>3</v>
      </c>
      <c r="D2" s="72">
        <v>35</v>
      </c>
      <c r="E2" s="66">
        <f t="shared" ref="E2:E73" si="0">C2*$B$81*$C$81</f>
        <v>1.2</v>
      </c>
    </row>
    <row r="3" spans="1:5" ht="16" x14ac:dyDescent="0.2">
      <c r="A3" s="64" t="s">
        <v>198</v>
      </c>
      <c r="B3" s="65">
        <v>46357.375</v>
      </c>
      <c r="C3" s="75">
        <v>6</v>
      </c>
      <c r="D3" s="72">
        <v>30</v>
      </c>
      <c r="E3" s="66">
        <f t="shared" si="0"/>
        <v>2.4</v>
      </c>
    </row>
    <row r="4" spans="1:5" ht="16" x14ac:dyDescent="0.2">
      <c r="A4" s="64" t="s">
        <v>101</v>
      </c>
      <c r="B4" s="65">
        <v>46357.416666666664</v>
      </c>
      <c r="C4" s="75">
        <v>6</v>
      </c>
      <c r="D4" s="72">
        <v>35</v>
      </c>
      <c r="E4" s="66">
        <f t="shared" si="0"/>
        <v>2.4</v>
      </c>
    </row>
    <row r="5" spans="1:5" ht="16" x14ac:dyDescent="0.2">
      <c r="A5" s="64" t="s">
        <v>96</v>
      </c>
      <c r="B5" s="65">
        <v>46357.458333333336</v>
      </c>
      <c r="C5" s="75">
        <v>5</v>
      </c>
      <c r="D5" s="72">
        <v>35</v>
      </c>
      <c r="E5" s="66">
        <f t="shared" si="0"/>
        <v>2</v>
      </c>
    </row>
    <row r="6" spans="1:5" ht="16" x14ac:dyDescent="0.2">
      <c r="A6" s="64" t="s">
        <v>96</v>
      </c>
      <c r="B6" s="63" t="s">
        <v>199</v>
      </c>
      <c r="C6" s="75">
        <v>4</v>
      </c>
      <c r="D6" s="72">
        <v>35</v>
      </c>
      <c r="E6" s="66">
        <f t="shared" si="0"/>
        <v>1.6</v>
      </c>
    </row>
    <row r="7" spans="1:5" ht="16" x14ac:dyDescent="0.2">
      <c r="A7" s="64" t="s">
        <v>198</v>
      </c>
      <c r="B7" s="63" t="s">
        <v>136</v>
      </c>
      <c r="C7" s="75">
        <v>5</v>
      </c>
      <c r="D7" s="72">
        <v>30</v>
      </c>
      <c r="E7" s="66">
        <f t="shared" si="0"/>
        <v>2</v>
      </c>
    </row>
    <row r="8" spans="1:5" ht="16" x14ac:dyDescent="0.2">
      <c r="A8" s="64" t="s">
        <v>96</v>
      </c>
      <c r="B8" s="63" t="s">
        <v>60</v>
      </c>
      <c r="C8" s="75">
        <v>4</v>
      </c>
      <c r="D8" s="72">
        <v>35</v>
      </c>
      <c r="E8" s="66">
        <f t="shared" si="0"/>
        <v>1.6</v>
      </c>
    </row>
    <row r="9" spans="1:5" ht="16" x14ac:dyDescent="0.2">
      <c r="A9" s="64" t="s">
        <v>96</v>
      </c>
      <c r="B9" s="63" t="s">
        <v>61</v>
      </c>
      <c r="C9" s="75">
        <v>3</v>
      </c>
      <c r="D9" s="72">
        <v>35</v>
      </c>
      <c r="E9" s="66">
        <f t="shared" si="0"/>
        <v>1.2</v>
      </c>
    </row>
    <row r="10" spans="1:5" ht="16" x14ac:dyDescent="0.2">
      <c r="A10" s="64" t="s">
        <v>96</v>
      </c>
      <c r="B10" s="63" t="s">
        <v>200</v>
      </c>
      <c r="C10" s="75">
        <v>2</v>
      </c>
      <c r="D10" s="72">
        <v>35</v>
      </c>
      <c r="E10" s="66">
        <f t="shared" si="0"/>
        <v>0.8</v>
      </c>
    </row>
    <row r="11" spans="1:5" ht="16" x14ac:dyDescent="0.2">
      <c r="A11" s="64" t="s">
        <v>96</v>
      </c>
      <c r="B11" s="63" t="s">
        <v>62</v>
      </c>
      <c r="C11" s="75">
        <v>6</v>
      </c>
      <c r="D11" s="72">
        <v>35</v>
      </c>
      <c r="E11" s="66">
        <f t="shared" si="0"/>
        <v>2.4</v>
      </c>
    </row>
    <row r="12" spans="1:5" ht="16" x14ac:dyDescent="0.2">
      <c r="A12" s="64" t="s">
        <v>113</v>
      </c>
      <c r="B12" s="63" t="s">
        <v>63</v>
      </c>
      <c r="C12" s="75">
        <v>1</v>
      </c>
      <c r="D12" s="72">
        <v>35</v>
      </c>
      <c r="E12" s="66">
        <f t="shared" si="0"/>
        <v>0.4</v>
      </c>
    </row>
    <row r="13" spans="1:5" ht="16" x14ac:dyDescent="0.2">
      <c r="A13" s="64" t="s">
        <v>96</v>
      </c>
      <c r="B13" s="63" t="s">
        <v>201</v>
      </c>
      <c r="C13" s="75">
        <v>5</v>
      </c>
      <c r="D13" s="72">
        <v>35</v>
      </c>
      <c r="E13" s="66">
        <f t="shared" si="0"/>
        <v>2</v>
      </c>
    </row>
    <row r="14" spans="1:5" ht="15.75" customHeight="1" x14ac:dyDescent="0.2">
      <c r="A14" s="64" t="s">
        <v>101</v>
      </c>
      <c r="B14" s="63" t="s">
        <v>202</v>
      </c>
      <c r="C14" s="75">
        <v>7</v>
      </c>
      <c r="D14" s="72">
        <v>35</v>
      </c>
      <c r="E14" s="66">
        <f t="shared" si="0"/>
        <v>2.8000000000000003</v>
      </c>
    </row>
    <row r="15" spans="1:5" ht="15.75" customHeight="1" x14ac:dyDescent="0.2">
      <c r="A15" s="64" t="s">
        <v>96</v>
      </c>
      <c r="B15" s="63" t="s">
        <v>104</v>
      </c>
      <c r="C15" s="75">
        <v>4</v>
      </c>
      <c r="D15" s="72">
        <v>35</v>
      </c>
      <c r="E15" s="66">
        <f t="shared" si="0"/>
        <v>1.6</v>
      </c>
    </row>
    <row r="16" spans="1:5" ht="15.75" customHeight="1" x14ac:dyDescent="0.2">
      <c r="A16" s="64" t="s">
        <v>96</v>
      </c>
      <c r="B16" s="63" t="s">
        <v>143</v>
      </c>
      <c r="C16" s="75">
        <v>6</v>
      </c>
      <c r="D16" s="72">
        <v>35</v>
      </c>
      <c r="E16" s="66">
        <f t="shared" si="0"/>
        <v>2.4</v>
      </c>
    </row>
    <row r="17" spans="1:5" ht="15.75" customHeight="1" x14ac:dyDescent="0.2">
      <c r="A17" s="64" t="s">
        <v>96</v>
      </c>
      <c r="B17" s="63" t="s">
        <v>203</v>
      </c>
      <c r="C17" s="75">
        <v>2</v>
      </c>
      <c r="D17" s="72">
        <v>35</v>
      </c>
      <c r="E17" s="66">
        <f t="shared" si="0"/>
        <v>0.8</v>
      </c>
    </row>
    <row r="18" spans="1:5" ht="15.75" customHeight="1" x14ac:dyDescent="0.2">
      <c r="A18" s="64" t="s">
        <v>96</v>
      </c>
      <c r="B18" s="63" t="s">
        <v>204</v>
      </c>
      <c r="C18" s="75">
        <v>3</v>
      </c>
      <c r="D18" s="72">
        <v>35</v>
      </c>
      <c r="E18" s="66">
        <f t="shared" si="0"/>
        <v>1.2</v>
      </c>
    </row>
    <row r="19" spans="1:5" ht="15.75" customHeight="1" x14ac:dyDescent="0.2">
      <c r="A19" s="64" t="s">
        <v>198</v>
      </c>
      <c r="B19" s="63" t="s">
        <v>205</v>
      </c>
      <c r="C19" s="75">
        <v>3</v>
      </c>
      <c r="D19" s="72">
        <v>30</v>
      </c>
      <c r="E19" s="66">
        <f t="shared" si="0"/>
        <v>1.2</v>
      </c>
    </row>
    <row r="20" spans="1:5" ht="15.75" customHeight="1" x14ac:dyDescent="0.2">
      <c r="A20" s="64" t="s">
        <v>96</v>
      </c>
      <c r="B20" s="63" t="s">
        <v>149</v>
      </c>
      <c r="C20" s="75">
        <v>2</v>
      </c>
      <c r="D20" s="72">
        <v>35</v>
      </c>
      <c r="E20" s="66">
        <f t="shared" si="0"/>
        <v>0.8</v>
      </c>
    </row>
    <row r="21" spans="1:5" ht="15.75" customHeight="1" x14ac:dyDescent="0.2">
      <c r="A21" s="64" t="s">
        <v>96</v>
      </c>
      <c r="B21" s="63" t="s">
        <v>194</v>
      </c>
      <c r="C21" s="75">
        <v>5</v>
      </c>
      <c r="D21" s="72">
        <v>35</v>
      </c>
      <c r="E21" s="66">
        <f t="shared" si="0"/>
        <v>2</v>
      </c>
    </row>
    <row r="22" spans="1:5" ht="15.75" customHeight="1" x14ac:dyDescent="0.2">
      <c r="A22" s="64" t="s">
        <v>206</v>
      </c>
      <c r="B22" s="63" t="s">
        <v>207</v>
      </c>
      <c r="C22" s="75">
        <v>10</v>
      </c>
      <c r="D22" s="72">
        <v>30</v>
      </c>
      <c r="E22" s="66">
        <f t="shared" si="0"/>
        <v>4</v>
      </c>
    </row>
    <row r="23" spans="1:5" ht="15.75" customHeight="1" x14ac:dyDescent="0.2">
      <c r="A23" s="64" t="s">
        <v>101</v>
      </c>
      <c r="B23" s="63" t="s">
        <v>208</v>
      </c>
      <c r="C23" s="75">
        <v>6</v>
      </c>
      <c r="D23" s="72">
        <v>35</v>
      </c>
      <c r="E23" s="66">
        <f t="shared" si="0"/>
        <v>2.4</v>
      </c>
    </row>
    <row r="24" spans="1:5" ht="15.75" customHeight="1" x14ac:dyDescent="0.2">
      <c r="A24" s="64" t="s">
        <v>113</v>
      </c>
      <c r="B24" s="63" t="s">
        <v>80</v>
      </c>
      <c r="C24" s="75">
        <v>4</v>
      </c>
      <c r="D24" s="72">
        <v>35</v>
      </c>
      <c r="E24" s="66">
        <f t="shared" si="0"/>
        <v>1.6</v>
      </c>
    </row>
    <row r="25" spans="1:5" ht="15.75" customHeight="1" x14ac:dyDescent="0.2">
      <c r="A25" s="64" t="s">
        <v>96</v>
      </c>
      <c r="B25" s="63" t="s">
        <v>81</v>
      </c>
      <c r="C25" s="75">
        <v>5</v>
      </c>
      <c r="D25" s="72">
        <v>35</v>
      </c>
      <c r="E25" s="66">
        <f t="shared" si="0"/>
        <v>2</v>
      </c>
    </row>
    <row r="26" spans="1:5" ht="15.75" customHeight="1" x14ac:dyDescent="0.2">
      <c r="A26" s="64" t="s">
        <v>96</v>
      </c>
      <c r="B26" s="63" t="s">
        <v>209</v>
      </c>
      <c r="C26" s="75">
        <v>3</v>
      </c>
      <c r="D26" s="72">
        <v>35</v>
      </c>
      <c r="E26" s="66">
        <f t="shared" si="0"/>
        <v>1.2</v>
      </c>
    </row>
    <row r="27" spans="1:5" ht="15.75" customHeight="1" x14ac:dyDescent="0.2">
      <c r="A27" s="64" t="s">
        <v>198</v>
      </c>
      <c r="B27" s="63" t="s">
        <v>107</v>
      </c>
      <c r="C27" s="75">
        <v>9</v>
      </c>
      <c r="D27" s="72">
        <v>30</v>
      </c>
      <c r="E27" s="66">
        <f t="shared" si="0"/>
        <v>3.6</v>
      </c>
    </row>
    <row r="28" spans="1:5" ht="15.75" customHeight="1" x14ac:dyDescent="0.2">
      <c r="A28" s="64" t="s">
        <v>96</v>
      </c>
      <c r="B28" s="63" t="s">
        <v>210</v>
      </c>
      <c r="C28" s="75">
        <v>6</v>
      </c>
      <c r="D28" s="72">
        <v>35</v>
      </c>
      <c r="E28" s="66">
        <f t="shared" si="0"/>
        <v>2.4</v>
      </c>
    </row>
    <row r="29" spans="1:5" ht="15.75" customHeight="1" x14ac:dyDescent="0.2">
      <c r="A29" s="64" t="s">
        <v>96</v>
      </c>
      <c r="B29" s="63" t="s">
        <v>64</v>
      </c>
      <c r="C29" s="75">
        <v>1</v>
      </c>
      <c r="D29" s="72">
        <v>35</v>
      </c>
      <c r="E29" s="66">
        <f t="shared" si="0"/>
        <v>0.4</v>
      </c>
    </row>
    <row r="30" spans="1:5" ht="15.75" customHeight="1" x14ac:dyDescent="0.2">
      <c r="A30" s="64" t="s">
        <v>96</v>
      </c>
      <c r="B30" s="63" t="s">
        <v>211</v>
      </c>
      <c r="C30" s="75">
        <v>4</v>
      </c>
      <c r="D30" s="72">
        <v>35</v>
      </c>
      <c r="E30" s="66">
        <f t="shared" si="0"/>
        <v>1.6</v>
      </c>
    </row>
    <row r="31" spans="1:5" ht="15.75" customHeight="1" x14ac:dyDescent="0.2">
      <c r="A31" s="64" t="s">
        <v>113</v>
      </c>
      <c r="B31" s="63" t="s">
        <v>68</v>
      </c>
      <c r="C31" s="75">
        <v>4</v>
      </c>
      <c r="D31" s="72">
        <v>35</v>
      </c>
      <c r="E31" s="66">
        <f t="shared" si="0"/>
        <v>1.6</v>
      </c>
    </row>
    <row r="32" spans="1:5" ht="15.75" customHeight="1" x14ac:dyDescent="0.2">
      <c r="A32" s="64" t="s">
        <v>96</v>
      </c>
      <c r="B32" s="63" t="s">
        <v>212</v>
      </c>
      <c r="C32" s="75">
        <v>7</v>
      </c>
      <c r="D32" s="72">
        <v>35</v>
      </c>
      <c r="E32" s="66">
        <f t="shared" si="0"/>
        <v>2.8000000000000003</v>
      </c>
    </row>
    <row r="33" spans="1:5" ht="15.75" customHeight="1" x14ac:dyDescent="0.2">
      <c r="A33" s="64" t="s">
        <v>198</v>
      </c>
      <c r="B33" s="63" t="s">
        <v>213</v>
      </c>
      <c r="C33" s="75">
        <v>8</v>
      </c>
      <c r="D33" s="72">
        <v>30</v>
      </c>
      <c r="E33" s="66">
        <f t="shared" si="0"/>
        <v>3.2</v>
      </c>
    </row>
    <row r="34" spans="1:5" ht="15.75" customHeight="1" x14ac:dyDescent="0.2">
      <c r="A34" s="64" t="s">
        <v>96</v>
      </c>
      <c r="B34" s="63" t="s">
        <v>214</v>
      </c>
      <c r="C34" s="75">
        <v>6</v>
      </c>
      <c r="D34" s="72">
        <v>35</v>
      </c>
      <c r="E34" s="66">
        <f t="shared" si="0"/>
        <v>2.4</v>
      </c>
    </row>
    <row r="35" spans="1:5" ht="15.75" customHeight="1" x14ac:dyDescent="0.2">
      <c r="A35" s="64" t="s">
        <v>96</v>
      </c>
      <c r="B35" s="63" t="s">
        <v>215</v>
      </c>
      <c r="C35" s="75">
        <v>2</v>
      </c>
      <c r="D35" s="72">
        <v>35</v>
      </c>
      <c r="E35" s="66">
        <f t="shared" si="0"/>
        <v>0.8</v>
      </c>
    </row>
    <row r="36" spans="1:5" ht="15.75" customHeight="1" x14ac:dyDescent="0.2">
      <c r="A36" s="64" t="s">
        <v>96</v>
      </c>
      <c r="B36" s="63" t="s">
        <v>216</v>
      </c>
      <c r="C36" s="75">
        <v>4</v>
      </c>
      <c r="D36" s="72">
        <v>35</v>
      </c>
      <c r="E36" s="66">
        <f t="shared" si="0"/>
        <v>1.6</v>
      </c>
    </row>
    <row r="37" spans="1:5" ht="15.75" customHeight="1" x14ac:dyDescent="0.2">
      <c r="A37" s="64" t="s">
        <v>198</v>
      </c>
      <c r="B37" s="63" t="s">
        <v>217</v>
      </c>
      <c r="C37" s="75">
        <v>7</v>
      </c>
      <c r="D37" s="72">
        <v>30</v>
      </c>
      <c r="E37" s="66">
        <f t="shared" si="0"/>
        <v>2.8000000000000003</v>
      </c>
    </row>
    <row r="38" spans="1:5" ht="15.75" customHeight="1" x14ac:dyDescent="0.2">
      <c r="A38" s="64" t="s">
        <v>96</v>
      </c>
      <c r="B38" s="63" t="s">
        <v>195</v>
      </c>
      <c r="C38" s="75">
        <v>4</v>
      </c>
      <c r="D38" s="72">
        <v>35</v>
      </c>
      <c r="E38" s="66">
        <f t="shared" si="0"/>
        <v>1.6</v>
      </c>
    </row>
    <row r="39" spans="1:5" ht="15.75" customHeight="1" x14ac:dyDescent="0.2">
      <c r="A39" s="64" t="s">
        <v>96</v>
      </c>
      <c r="B39" s="63" t="s">
        <v>218</v>
      </c>
      <c r="C39" s="75">
        <v>4</v>
      </c>
      <c r="D39" s="72">
        <v>35</v>
      </c>
      <c r="E39" s="66">
        <f t="shared" si="0"/>
        <v>1.6</v>
      </c>
    </row>
    <row r="40" spans="1:5" ht="15.75" customHeight="1" x14ac:dyDescent="0.2">
      <c r="A40" s="64" t="s">
        <v>113</v>
      </c>
      <c r="B40" s="63" t="s">
        <v>86</v>
      </c>
      <c r="C40" s="75">
        <v>5</v>
      </c>
      <c r="D40" s="72">
        <v>35</v>
      </c>
      <c r="E40" s="66">
        <f t="shared" si="0"/>
        <v>2</v>
      </c>
    </row>
    <row r="41" spans="1:5" ht="15.75" customHeight="1" x14ac:dyDescent="0.2">
      <c r="A41" s="64" t="s">
        <v>96</v>
      </c>
      <c r="B41" s="63" t="s">
        <v>87</v>
      </c>
      <c r="C41" s="75">
        <v>4</v>
      </c>
      <c r="D41" s="72">
        <v>35</v>
      </c>
      <c r="E41" s="66">
        <f t="shared" si="0"/>
        <v>1.6</v>
      </c>
    </row>
    <row r="42" spans="1:5" ht="15.75" customHeight="1" x14ac:dyDescent="0.2">
      <c r="A42" s="64" t="s">
        <v>96</v>
      </c>
      <c r="B42" s="63" t="s">
        <v>186</v>
      </c>
      <c r="C42" s="75">
        <v>6</v>
      </c>
      <c r="D42" s="72">
        <v>35</v>
      </c>
      <c r="E42" s="66">
        <f t="shared" si="0"/>
        <v>2.4</v>
      </c>
    </row>
    <row r="43" spans="1:5" ht="15.75" customHeight="1" x14ac:dyDescent="0.2">
      <c r="A43" s="64" t="s">
        <v>219</v>
      </c>
      <c r="B43" s="63" t="s">
        <v>188</v>
      </c>
      <c r="C43" s="75">
        <v>10</v>
      </c>
      <c r="D43" s="72">
        <v>30</v>
      </c>
      <c r="E43" s="66">
        <f t="shared" si="0"/>
        <v>4</v>
      </c>
    </row>
    <row r="44" spans="1:5" ht="15.75" customHeight="1" x14ac:dyDescent="0.2">
      <c r="A44" s="64" t="s">
        <v>198</v>
      </c>
      <c r="B44" s="63" t="s">
        <v>220</v>
      </c>
      <c r="C44" s="75">
        <v>10</v>
      </c>
      <c r="D44" s="72">
        <v>30</v>
      </c>
      <c r="E44" s="66">
        <f t="shared" si="0"/>
        <v>4</v>
      </c>
    </row>
    <row r="45" spans="1:5" ht="15.75" customHeight="1" x14ac:dyDescent="0.2">
      <c r="A45" s="64" t="s">
        <v>198</v>
      </c>
      <c r="B45" s="63" t="s">
        <v>221</v>
      </c>
      <c r="C45" s="75">
        <v>8</v>
      </c>
      <c r="D45" s="72">
        <v>30</v>
      </c>
      <c r="E45" s="66">
        <f t="shared" si="0"/>
        <v>3.2</v>
      </c>
    </row>
    <row r="46" spans="1:5" ht="15.75" customHeight="1" x14ac:dyDescent="0.2">
      <c r="A46" s="64" t="s">
        <v>96</v>
      </c>
      <c r="B46" s="63" t="s">
        <v>222</v>
      </c>
      <c r="C46" s="75">
        <v>2</v>
      </c>
      <c r="D46" s="72">
        <v>35</v>
      </c>
      <c r="E46" s="66">
        <f t="shared" si="0"/>
        <v>0.8</v>
      </c>
    </row>
    <row r="47" spans="1:5" ht="15.75" customHeight="1" x14ac:dyDescent="0.2">
      <c r="A47" s="64" t="s">
        <v>198</v>
      </c>
      <c r="B47" s="63" t="s">
        <v>223</v>
      </c>
      <c r="C47" s="75">
        <v>7</v>
      </c>
      <c r="D47" s="72">
        <v>30</v>
      </c>
      <c r="E47" s="66">
        <f t="shared" si="0"/>
        <v>2.8000000000000003</v>
      </c>
    </row>
    <row r="48" spans="1:5" ht="15.75" customHeight="1" x14ac:dyDescent="0.2">
      <c r="A48" s="64" t="s">
        <v>96</v>
      </c>
      <c r="B48" s="63" t="s">
        <v>224</v>
      </c>
      <c r="C48" s="75">
        <v>5</v>
      </c>
      <c r="D48" s="72">
        <v>35</v>
      </c>
      <c r="E48" s="66">
        <f t="shared" si="0"/>
        <v>2</v>
      </c>
    </row>
    <row r="49" spans="1:5" ht="15.75" customHeight="1" x14ac:dyDescent="0.2">
      <c r="A49" s="64" t="s">
        <v>96</v>
      </c>
      <c r="B49" s="63" t="s">
        <v>69</v>
      </c>
      <c r="C49" s="75">
        <v>3</v>
      </c>
      <c r="D49" s="72">
        <v>35</v>
      </c>
      <c r="E49" s="66">
        <f t="shared" si="0"/>
        <v>1.2</v>
      </c>
    </row>
    <row r="50" spans="1:5" ht="15.75" customHeight="1" x14ac:dyDescent="0.2">
      <c r="A50" s="64" t="s">
        <v>206</v>
      </c>
      <c r="B50" s="63" t="s">
        <v>124</v>
      </c>
      <c r="C50" s="75">
        <v>10</v>
      </c>
      <c r="D50" s="72">
        <v>30</v>
      </c>
      <c r="E50" s="66">
        <f t="shared" si="0"/>
        <v>4</v>
      </c>
    </row>
    <row r="51" spans="1:5" ht="15.75" customHeight="1" x14ac:dyDescent="0.2">
      <c r="A51" s="64" t="s">
        <v>96</v>
      </c>
      <c r="B51" s="63" t="s">
        <v>225</v>
      </c>
      <c r="C51" s="75">
        <v>3</v>
      </c>
      <c r="D51" s="72">
        <v>35</v>
      </c>
      <c r="E51" s="66">
        <f t="shared" si="0"/>
        <v>1.2</v>
      </c>
    </row>
    <row r="52" spans="1:5" ht="15.75" customHeight="1" x14ac:dyDescent="0.2">
      <c r="A52" s="64" t="s">
        <v>198</v>
      </c>
      <c r="B52" s="63" t="s">
        <v>226</v>
      </c>
      <c r="C52" s="75">
        <v>6</v>
      </c>
      <c r="D52" s="72">
        <v>30</v>
      </c>
      <c r="E52" s="66">
        <f t="shared" si="0"/>
        <v>2.4</v>
      </c>
    </row>
    <row r="53" spans="1:5" ht="15.75" customHeight="1" x14ac:dyDescent="0.2">
      <c r="A53" s="64" t="s">
        <v>96</v>
      </c>
      <c r="B53" s="63" t="s">
        <v>71</v>
      </c>
      <c r="C53" s="75">
        <v>2</v>
      </c>
      <c r="D53" s="72">
        <v>35</v>
      </c>
      <c r="E53" s="66">
        <f t="shared" si="0"/>
        <v>0.8</v>
      </c>
    </row>
    <row r="54" spans="1:5" ht="15.75" customHeight="1" x14ac:dyDescent="0.2">
      <c r="A54" s="64" t="s">
        <v>96</v>
      </c>
      <c r="B54" s="63" t="s">
        <v>72</v>
      </c>
      <c r="C54" s="75">
        <v>5</v>
      </c>
      <c r="D54" s="72">
        <v>35</v>
      </c>
      <c r="E54" s="66">
        <f t="shared" si="0"/>
        <v>2</v>
      </c>
    </row>
    <row r="55" spans="1:5" ht="15.75" customHeight="1" x14ac:dyDescent="0.2">
      <c r="A55" s="64" t="s">
        <v>101</v>
      </c>
      <c r="B55" s="63" t="s">
        <v>227</v>
      </c>
      <c r="C55" s="75">
        <v>6</v>
      </c>
      <c r="D55" s="72">
        <v>35</v>
      </c>
      <c r="E55" s="66">
        <f t="shared" si="0"/>
        <v>2.4</v>
      </c>
    </row>
    <row r="56" spans="1:5" ht="15.75" customHeight="1" x14ac:dyDescent="0.2">
      <c r="A56" s="64" t="s">
        <v>219</v>
      </c>
      <c r="B56" s="63" t="s">
        <v>112</v>
      </c>
      <c r="C56" s="75">
        <v>9</v>
      </c>
      <c r="D56" s="72">
        <v>30</v>
      </c>
      <c r="E56" s="66">
        <f t="shared" si="0"/>
        <v>3.6</v>
      </c>
    </row>
    <row r="57" spans="1:5" ht="15.75" customHeight="1" x14ac:dyDescent="0.2">
      <c r="A57" s="64" t="s">
        <v>96</v>
      </c>
      <c r="B57" s="63" t="s">
        <v>228</v>
      </c>
      <c r="C57" s="75">
        <v>6</v>
      </c>
      <c r="D57" s="72">
        <v>35</v>
      </c>
      <c r="E57" s="66">
        <f t="shared" si="0"/>
        <v>2.4</v>
      </c>
    </row>
    <row r="58" spans="1:5" ht="15.75" customHeight="1" x14ac:dyDescent="0.2">
      <c r="A58" s="64" t="s">
        <v>96</v>
      </c>
      <c r="B58" s="63" t="s">
        <v>73</v>
      </c>
      <c r="C58" s="75">
        <v>3</v>
      </c>
      <c r="D58" s="72">
        <v>35</v>
      </c>
      <c r="E58" s="66">
        <f t="shared" si="0"/>
        <v>1.2</v>
      </c>
    </row>
    <row r="59" spans="1:5" ht="15.75" customHeight="1" x14ac:dyDescent="0.2">
      <c r="A59" s="64" t="s">
        <v>113</v>
      </c>
      <c r="B59" s="63" t="s">
        <v>74</v>
      </c>
      <c r="C59" s="75">
        <v>4</v>
      </c>
      <c r="D59" s="72">
        <v>35</v>
      </c>
      <c r="E59" s="66">
        <f t="shared" si="0"/>
        <v>1.6</v>
      </c>
    </row>
    <row r="60" spans="1:5" ht="15.75" customHeight="1" x14ac:dyDescent="0.2">
      <c r="A60" s="64" t="s">
        <v>219</v>
      </c>
      <c r="B60" s="63" t="s">
        <v>229</v>
      </c>
      <c r="C60" s="75">
        <v>6</v>
      </c>
      <c r="D60" s="72">
        <v>30</v>
      </c>
      <c r="E60" s="66">
        <f t="shared" si="0"/>
        <v>2.4</v>
      </c>
    </row>
    <row r="61" spans="1:5" ht="15.75" customHeight="1" x14ac:dyDescent="0.2">
      <c r="A61" s="64" t="s">
        <v>96</v>
      </c>
      <c r="B61" s="63" t="s">
        <v>196</v>
      </c>
      <c r="C61" s="75">
        <v>5</v>
      </c>
      <c r="D61" s="72">
        <v>35</v>
      </c>
      <c r="E61" s="66">
        <f t="shared" si="0"/>
        <v>2</v>
      </c>
    </row>
    <row r="62" spans="1:5" ht="15.75" customHeight="1" x14ac:dyDescent="0.2">
      <c r="A62" s="64" t="s">
        <v>101</v>
      </c>
      <c r="B62" s="63" t="s">
        <v>230</v>
      </c>
      <c r="C62" s="75">
        <v>4</v>
      </c>
      <c r="D62" s="72">
        <v>35</v>
      </c>
      <c r="E62" s="66">
        <f t="shared" si="0"/>
        <v>1.6</v>
      </c>
    </row>
    <row r="63" spans="1:5" ht="15.75" customHeight="1" x14ac:dyDescent="0.2">
      <c r="A63" s="64" t="s">
        <v>198</v>
      </c>
      <c r="B63" s="63" t="s">
        <v>116</v>
      </c>
      <c r="C63" s="75">
        <v>8</v>
      </c>
      <c r="D63" s="72">
        <v>30</v>
      </c>
      <c r="E63" s="66">
        <f t="shared" si="0"/>
        <v>3.2</v>
      </c>
    </row>
    <row r="64" spans="1:5" ht="15.75" customHeight="1" x14ac:dyDescent="0.2">
      <c r="A64" s="64" t="s">
        <v>96</v>
      </c>
      <c r="B64" s="63" t="s">
        <v>231</v>
      </c>
      <c r="C64" s="75">
        <v>6</v>
      </c>
      <c r="D64" s="72">
        <v>35</v>
      </c>
      <c r="E64" s="66">
        <f t="shared" si="0"/>
        <v>2.4</v>
      </c>
    </row>
    <row r="65" spans="1:5" ht="15.75" customHeight="1" x14ac:dyDescent="0.2">
      <c r="A65" s="64" t="s">
        <v>96</v>
      </c>
      <c r="B65" s="63" t="s">
        <v>232</v>
      </c>
      <c r="C65" s="75">
        <v>5</v>
      </c>
      <c r="D65" s="72">
        <v>35</v>
      </c>
      <c r="E65" s="66">
        <f t="shared" si="0"/>
        <v>2</v>
      </c>
    </row>
    <row r="66" spans="1:5" ht="15.75" customHeight="1" x14ac:dyDescent="0.2">
      <c r="A66" s="64" t="s">
        <v>96</v>
      </c>
      <c r="B66" s="63" t="s">
        <v>233</v>
      </c>
      <c r="C66" s="75">
        <v>2</v>
      </c>
      <c r="D66" s="72">
        <v>35</v>
      </c>
      <c r="E66" s="66">
        <f t="shared" si="0"/>
        <v>0.8</v>
      </c>
    </row>
    <row r="67" spans="1:5" ht="15.75" customHeight="1" x14ac:dyDescent="0.2">
      <c r="A67" s="64" t="s">
        <v>96</v>
      </c>
      <c r="B67" s="63" t="s">
        <v>234</v>
      </c>
      <c r="C67" s="75">
        <v>3</v>
      </c>
      <c r="D67" s="72">
        <v>35</v>
      </c>
      <c r="E67" s="66">
        <f t="shared" si="0"/>
        <v>1.2</v>
      </c>
    </row>
    <row r="68" spans="1:5" ht="15.75" customHeight="1" x14ac:dyDescent="0.2">
      <c r="A68" s="64" t="s">
        <v>198</v>
      </c>
      <c r="B68" s="63" t="s">
        <v>235</v>
      </c>
      <c r="C68" s="75">
        <v>9</v>
      </c>
      <c r="D68" s="72">
        <v>30</v>
      </c>
      <c r="E68" s="66">
        <f t="shared" si="0"/>
        <v>3.6</v>
      </c>
    </row>
    <row r="69" spans="1:5" ht="15.75" customHeight="1" x14ac:dyDescent="0.2">
      <c r="A69" s="64" t="s">
        <v>96</v>
      </c>
      <c r="B69" s="63" t="s">
        <v>197</v>
      </c>
      <c r="C69" s="75">
        <v>6</v>
      </c>
      <c r="D69" s="72">
        <v>35</v>
      </c>
      <c r="E69" s="66">
        <f t="shared" si="0"/>
        <v>2.4</v>
      </c>
    </row>
    <row r="70" spans="1:5" ht="15.75" customHeight="1" x14ac:dyDescent="0.2">
      <c r="A70" s="64" t="s">
        <v>96</v>
      </c>
      <c r="B70" s="63" t="s">
        <v>236</v>
      </c>
      <c r="C70" s="75">
        <v>5</v>
      </c>
      <c r="D70" s="72">
        <v>35</v>
      </c>
      <c r="E70" s="66">
        <f t="shared" si="0"/>
        <v>2</v>
      </c>
    </row>
    <row r="71" spans="1:5" ht="15.75" customHeight="1" x14ac:dyDescent="0.2">
      <c r="A71" s="64" t="s">
        <v>96</v>
      </c>
      <c r="B71" s="63" t="s">
        <v>92</v>
      </c>
      <c r="C71" s="75">
        <v>6</v>
      </c>
      <c r="D71" s="72">
        <v>35</v>
      </c>
      <c r="E71" s="66">
        <f t="shared" si="0"/>
        <v>2.4</v>
      </c>
    </row>
    <row r="72" spans="1:5" ht="15.75" customHeight="1" x14ac:dyDescent="0.2">
      <c r="A72" s="64" t="s">
        <v>135</v>
      </c>
      <c r="B72" s="63" t="s">
        <v>237</v>
      </c>
      <c r="C72" s="75">
        <v>5</v>
      </c>
      <c r="D72" s="72">
        <v>35</v>
      </c>
      <c r="E72" s="66">
        <f t="shared" si="0"/>
        <v>2</v>
      </c>
    </row>
    <row r="73" spans="1:5" ht="15.75" customHeight="1" x14ac:dyDescent="0.2">
      <c r="A73" s="64" t="s">
        <v>96</v>
      </c>
      <c r="B73" s="63" t="s">
        <v>238</v>
      </c>
      <c r="C73" s="75">
        <v>4</v>
      </c>
      <c r="D73" s="72">
        <v>35</v>
      </c>
      <c r="E73" s="66">
        <f t="shared" si="0"/>
        <v>1.6</v>
      </c>
    </row>
    <row r="74" spans="1:5" ht="15.75" customHeight="1" x14ac:dyDescent="0.2">
      <c r="A74" s="64"/>
      <c r="B74" s="64"/>
      <c r="C74" s="75"/>
      <c r="D74" s="63"/>
      <c r="E74" s="66"/>
    </row>
    <row r="75" spans="1:5" ht="15.75" customHeight="1" x14ac:dyDescent="0.2">
      <c r="A75" s="64"/>
      <c r="B75" s="64"/>
      <c r="C75" s="64"/>
      <c r="D75" s="63"/>
    </row>
    <row r="76" spans="1:5" ht="15.75" customHeight="1" x14ac:dyDescent="0.2"/>
    <row r="77" spans="1:5" ht="15.75" customHeight="1" x14ac:dyDescent="0.2">
      <c r="B77" s="67" t="s">
        <v>3</v>
      </c>
      <c r="C77" s="67">
        <f>SUM(C2:C73)</f>
        <v>364</v>
      </c>
      <c r="D77" s="68">
        <f t="shared" ref="D77:E77" si="1">SUM(D2:D75)</f>
        <v>2435</v>
      </c>
      <c r="E77" s="69">
        <f t="shared" si="1"/>
        <v>145.6</v>
      </c>
    </row>
    <row r="78" spans="1:5" ht="15.75" customHeight="1" x14ac:dyDescent="0.2"/>
    <row r="79" spans="1:5" ht="15.75" customHeight="1" x14ac:dyDescent="0.2"/>
    <row r="80" spans="1:5" ht="15.75" customHeight="1" x14ac:dyDescent="0.2"/>
    <row r="81" spans="1:3" ht="15.75" customHeight="1" x14ac:dyDescent="0.2">
      <c r="A81" s="50" t="s">
        <v>2</v>
      </c>
      <c r="B81" s="70">
        <v>20</v>
      </c>
      <c r="C81" s="71">
        <v>0.02</v>
      </c>
    </row>
    <row r="82" spans="1:3" ht="15.75" customHeight="1" x14ac:dyDescent="0.2"/>
    <row r="83" spans="1:3" ht="15.75" customHeight="1" x14ac:dyDescent="0.2"/>
    <row r="84" spans="1:3" ht="15.75" customHeight="1" x14ac:dyDescent="0.2"/>
    <row r="85" spans="1:3" ht="15.75" customHeight="1" x14ac:dyDescent="0.2"/>
    <row r="86" spans="1:3" ht="15.75" customHeight="1" x14ac:dyDescent="0.2"/>
    <row r="87" spans="1:3" ht="15.75" customHeight="1" x14ac:dyDescent="0.2"/>
    <row r="88" spans="1:3" ht="15.75" customHeight="1" x14ac:dyDescent="0.2"/>
    <row r="89" spans="1:3" ht="15.75" customHeight="1" x14ac:dyDescent="0.2"/>
    <row r="90" spans="1:3" ht="15.75" customHeight="1" x14ac:dyDescent="0.2"/>
    <row r="91" spans="1:3" ht="15.75" customHeight="1" x14ac:dyDescent="0.2"/>
    <row r="92" spans="1:3" ht="15.75" customHeight="1" x14ac:dyDescent="0.2"/>
    <row r="93" spans="1:3" ht="15.75" customHeight="1" x14ac:dyDescent="0.2"/>
    <row r="94" spans="1:3" ht="15.75" customHeight="1" x14ac:dyDescent="0.2"/>
    <row r="95" spans="1:3" ht="15.75" customHeight="1" x14ac:dyDescent="0.2"/>
    <row r="96" spans="1:3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E1008"/>
  <sheetViews>
    <sheetView workbookViewId="0"/>
  </sheetViews>
  <sheetFormatPr baseColWidth="10" defaultColWidth="11.1640625" defaultRowHeight="15" customHeight="1" x14ac:dyDescent="0.2"/>
  <sheetData>
    <row r="1" spans="1:5" ht="16" x14ac:dyDescent="0.2">
      <c r="A1" s="62" t="s">
        <v>53</v>
      </c>
      <c r="B1" s="63" t="s">
        <v>54</v>
      </c>
      <c r="C1" s="62" t="s">
        <v>55</v>
      </c>
      <c r="D1" s="62" t="s">
        <v>29</v>
      </c>
      <c r="E1" s="62" t="s">
        <v>56</v>
      </c>
    </row>
    <row r="2" spans="1:5" ht="16" x14ac:dyDescent="0.2">
      <c r="A2" s="13" t="s">
        <v>96</v>
      </c>
      <c r="B2" s="82">
        <v>46054.291666666664</v>
      </c>
      <c r="C2" s="38">
        <v>4</v>
      </c>
      <c r="D2" s="38">
        <v>30</v>
      </c>
      <c r="E2" s="66">
        <f t="shared" ref="E2:E49" si="0">C2*$B$56*$C$56</f>
        <v>1.6</v>
      </c>
    </row>
    <row r="3" spans="1:5" ht="16" x14ac:dyDescent="0.2">
      <c r="A3" s="13" t="s">
        <v>198</v>
      </c>
      <c r="B3" s="82">
        <v>46054.333333333336</v>
      </c>
      <c r="C3" s="38">
        <v>9</v>
      </c>
      <c r="D3" s="38">
        <v>30</v>
      </c>
      <c r="E3" s="66">
        <f t="shared" si="0"/>
        <v>3.6</v>
      </c>
    </row>
    <row r="4" spans="1:5" ht="16" x14ac:dyDescent="0.2">
      <c r="A4" s="13" t="s">
        <v>113</v>
      </c>
      <c r="B4" s="82">
        <v>46082.375</v>
      </c>
      <c r="C4" s="38">
        <v>6</v>
      </c>
      <c r="D4" s="38">
        <v>30</v>
      </c>
      <c r="E4" s="66">
        <f t="shared" si="0"/>
        <v>2.4</v>
      </c>
    </row>
    <row r="5" spans="1:5" ht="16" x14ac:dyDescent="0.2">
      <c r="A5" s="13" t="s">
        <v>96</v>
      </c>
      <c r="B5" s="82">
        <v>46082.458333333336</v>
      </c>
      <c r="C5" s="38">
        <v>6</v>
      </c>
      <c r="D5" s="38">
        <v>30</v>
      </c>
      <c r="E5" s="66">
        <f t="shared" si="0"/>
        <v>2.4</v>
      </c>
    </row>
    <row r="6" spans="1:5" ht="16" x14ac:dyDescent="0.2">
      <c r="A6" s="13" t="s">
        <v>219</v>
      </c>
      <c r="B6" s="82">
        <v>46082.541666666664</v>
      </c>
      <c r="C6" s="38">
        <v>11</v>
      </c>
      <c r="D6" s="38">
        <v>30</v>
      </c>
      <c r="E6" s="66">
        <f t="shared" si="0"/>
        <v>4.4000000000000004</v>
      </c>
    </row>
    <row r="7" spans="1:5" ht="16" x14ac:dyDescent="0.2">
      <c r="A7" s="13" t="s">
        <v>96</v>
      </c>
      <c r="B7" s="82">
        <v>46113.375</v>
      </c>
      <c r="C7" s="38">
        <v>4</v>
      </c>
      <c r="D7" s="38">
        <v>30</v>
      </c>
      <c r="E7" s="66">
        <f t="shared" si="0"/>
        <v>1.6</v>
      </c>
    </row>
    <row r="8" spans="1:5" ht="16" x14ac:dyDescent="0.2">
      <c r="A8" s="13" t="s">
        <v>96</v>
      </c>
      <c r="B8" s="82">
        <v>46113.416666666664</v>
      </c>
      <c r="C8" s="38">
        <v>6</v>
      </c>
      <c r="D8" s="38">
        <v>30</v>
      </c>
      <c r="E8" s="66">
        <f t="shared" si="0"/>
        <v>2.4</v>
      </c>
    </row>
    <row r="9" spans="1:5" ht="16" x14ac:dyDescent="0.2">
      <c r="A9" s="13" t="s">
        <v>96</v>
      </c>
      <c r="B9" s="82">
        <v>46143.333333333336</v>
      </c>
      <c r="C9" s="38">
        <v>6</v>
      </c>
      <c r="D9" s="38">
        <v>30</v>
      </c>
      <c r="E9" s="66">
        <f t="shared" si="0"/>
        <v>2.4</v>
      </c>
    </row>
    <row r="10" spans="1:5" ht="16" x14ac:dyDescent="0.2">
      <c r="A10" s="13" t="s">
        <v>96</v>
      </c>
      <c r="B10" s="82">
        <v>46174.291666666664</v>
      </c>
      <c r="C10" s="38">
        <v>2</v>
      </c>
      <c r="D10" s="38">
        <v>30</v>
      </c>
      <c r="E10" s="66">
        <f t="shared" si="0"/>
        <v>0.8</v>
      </c>
    </row>
    <row r="11" spans="1:5" ht="16" x14ac:dyDescent="0.2">
      <c r="A11" s="13" t="s">
        <v>96</v>
      </c>
      <c r="B11" s="82">
        <v>46204.291666666664</v>
      </c>
      <c r="C11" s="38">
        <v>5</v>
      </c>
      <c r="D11" s="38">
        <v>30</v>
      </c>
      <c r="E11" s="66">
        <f t="shared" si="0"/>
        <v>2</v>
      </c>
    </row>
    <row r="12" spans="1:5" ht="16" x14ac:dyDescent="0.2">
      <c r="A12" s="13" t="s">
        <v>96</v>
      </c>
      <c r="B12" s="82">
        <v>46235.291666666664</v>
      </c>
      <c r="C12" s="38">
        <v>7</v>
      </c>
      <c r="D12" s="38">
        <v>30</v>
      </c>
      <c r="E12" s="66">
        <f t="shared" si="0"/>
        <v>2.8000000000000003</v>
      </c>
    </row>
    <row r="13" spans="1:5" ht="16" x14ac:dyDescent="0.2">
      <c r="A13" s="13" t="s">
        <v>198</v>
      </c>
      <c r="B13" s="82">
        <v>46235.333333333336</v>
      </c>
      <c r="C13" s="38">
        <v>1</v>
      </c>
      <c r="D13" s="38">
        <v>30</v>
      </c>
      <c r="E13" s="66">
        <f t="shared" si="0"/>
        <v>0.4</v>
      </c>
    </row>
    <row r="14" spans="1:5" ht="16" x14ac:dyDescent="0.2">
      <c r="A14" s="13" t="s">
        <v>96</v>
      </c>
      <c r="B14" s="82">
        <v>46266.291666666664</v>
      </c>
      <c r="C14" s="38">
        <v>4</v>
      </c>
      <c r="D14" s="38">
        <v>30</v>
      </c>
      <c r="E14" s="66">
        <f t="shared" si="0"/>
        <v>1.6</v>
      </c>
    </row>
    <row r="15" spans="1:5" ht="16" x14ac:dyDescent="0.2">
      <c r="A15" s="13" t="s">
        <v>219</v>
      </c>
      <c r="B15" s="82">
        <v>46266.333333333336</v>
      </c>
      <c r="C15" s="38">
        <v>3</v>
      </c>
      <c r="D15" s="38">
        <v>30</v>
      </c>
      <c r="E15" s="66">
        <f t="shared" si="0"/>
        <v>1.2</v>
      </c>
    </row>
    <row r="16" spans="1:5" ht="16" x14ac:dyDescent="0.2">
      <c r="A16" s="13" t="s">
        <v>101</v>
      </c>
      <c r="B16" s="82">
        <v>46266.458333333336</v>
      </c>
      <c r="C16" s="38">
        <v>5</v>
      </c>
      <c r="D16" s="38">
        <v>30</v>
      </c>
      <c r="E16" s="66">
        <f t="shared" si="0"/>
        <v>2</v>
      </c>
    </row>
    <row r="17" spans="1:5" ht="16" x14ac:dyDescent="0.2">
      <c r="A17" s="13" t="s">
        <v>113</v>
      </c>
      <c r="B17" s="82">
        <v>46296.375</v>
      </c>
      <c r="C17" s="38">
        <v>5</v>
      </c>
      <c r="D17" s="38">
        <v>30</v>
      </c>
      <c r="E17" s="66">
        <f t="shared" si="0"/>
        <v>2</v>
      </c>
    </row>
    <row r="18" spans="1:5" ht="16" x14ac:dyDescent="0.2">
      <c r="A18" s="13" t="s">
        <v>160</v>
      </c>
      <c r="B18" s="82">
        <v>46296.458333333336</v>
      </c>
      <c r="C18" s="38">
        <v>6</v>
      </c>
      <c r="D18" s="38">
        <v>30</v>
      </c>
      <c r="E18" s="66">
        <f t="shared" si="0"/>
        <v>2.4</v>
      </c>
    </row>
    <row r="19" spans="1:5" ht="16" x14ac:dyDescent="0.2">
      <c r="A19" s="13" t="s">
        <v>198</v>
      </c>
      <c r="B19" s="82">
        <v>46296.5</v>
      </c>
      <c r="C19" s="38">
        <v>10</v>
      </c>
      <c r="D19" s="38">
        <v>30</v>
      </c>
      <c r="E19" s="66">
        <f t="shared" si="0"/>
        <v>4</v>
      </c>
    </row>
    <row r="20" spans="1:5" ht="16" x14ac:dyDescent="0.2">
      <c r="A20" s="13" t="s">
        <v>219</v>
      </c>
      <c r="B20" s="82">
        <v>46296.541666666664</v>
      </c>
      <c r="C20" s="38">
        <v>12</v>
      </c>
      <c r="D20" s="38">
        <v>30</v>
      </c>
      <c r="E20" s="66">
        <f t="shared" si="0"/>
        <v>4.8</v>
      </c>
    </row>
    <row r="21" spans="1:5" ht="16" x14ac:dyDescent="0.2">
      <c r="A21" s="13" t="s">
        <v>101</v>
      </c>
      <c r="B21" s="82">
        <v>46327.375</v>
      </c>
      <c r="C21" s="38">
        <v>4</v>
      </c>
      <c r="D21" s="38">
        <v>30</v>
      </c>
      <c r="E21" s="66">
        <f t="shared" si="0"/>
        <v>1.6</v>
      </c>
    </row>
    <row r="22" spans="1:5" ht="16" x14ac:dyDescent="0.2">
      <c r="A22" s="13" t="s">
        <v>96</v>
      </c>
      <c r="B22" s="82">
        <v>46327.416666666664</v>
      </c>
      <c r="C22" s="38">
        <v>6</v>
      </c>
      <c r="D22" s="38">
        <v>30</v>
      </c>
      <c r="E22" s="66">
        <f t="shared" si="0"/>
        <v>2.4</v>
      </c>
    </row>
    <row r="23" spans="1:5" ht="16" x14ac:dyDescent="0.2">
      <c r="A23" s="13" t="s">
        <v>206</v>
      </c>
      <c r="B23" s="82">
        <v>46357.333333333336</v>
      </c>
      <c r="C23" s="38">
        <v>3</v>
      </c>
      <c r="D23" s="38">
        <v>30</v>
      </c>
      <c r="E23" s="66">
        <f t="shared" si="0"/>
        <v>1.2</v>
      </c>
    </row>
    <row r="24" spans="1:5" ht="16" x14ac:dyDescent="0.2">
      <c r="A24" s="13" t="s">
        <v>96</v>
      </c>
      <c r="B24" s="13" t="s">
        <v>239</v>
      </c>
      <c r="C24" s="38">
        <v>6</v>
      </c>
      <c r="D24" s="38">
        <v>30</v>
      </c>
      <c r="E24" s="66">
        <f t="shared" si="0"/>
        <v>2.4</v>
      </c>
    </row>
    <row r="25" spans="1:5" ht="16" x14ac:dyDescent="0.2">
      <c r="A25" s="13" t="s">
        <v>96</v>
      </c>
      <c r="B25" s="13" t="s">
        <v>240</v>
      </c>
      <c r="C25" s="38">
        <v>6</v>
      </c>
      <c r="D25" s="38">
        <v>30</v>
      </c>
      <c r="E25" s="66">
        <f t="shared" si="0"/>
        <v>2.4</v>
      </c>
    </row>
    <row r="26" spans="1:5" ht="16" x14ac:dyDescent="0.2">
      <c r="A26" s="13" t="s">
        <v>198</v>
      </c>
      <c r="B26" s="13" t="s">
        <v>202</v>
      </c>
      <c r="C26" s="38">
        <v>5</v>
      </c>
      <c r="D26" s="38">
        <v>30</v>
      </c>
      <c r="E26" s="66">
        <f t="shared" si="0"/>
        <v>2</v>
      </c>
    </row>
    <row r="27" spans="1:5" ht="16" x14ac:dyDescent="0.2">
      <c r="A27" s="13" t="s">
        <v>96</v>
      </c>
      <c r="B27" s="13" t="s">
        <v>153</v>
      </c>
      <c r="C27" s="38">
        <v>6</v>
      </c>
      <c r="D27" s="38">
        <v>30</v>
      </c>
      <c r="E27" s="66">
        <f t="shared" si="0"/>
        <v>2.4</v>
      </c>
    </row>
    <row r="28" spans="1:5" ht="16" x14ac:dyDescent="0.2">
      <c r="A28" s="13" t="s">
        <v>198</v>
      </c>
      <c r="B28" s="13" t="s">
        <v>155</v>
      </c>
      <c r="C28" s="38">
        <v>10</v>
      </c>
      <c r="D28" s="38">
        <v>30</v>
      </c>
      <c r="E28" s="66">
        <f t="shared" si="0"/>
        <v>4</v>
      </c>
    </row>
    <row r="29" spans="1:5" ht="16" x14ac:dyDescent="0.2">
      <c r="A29" s="13" t="s">
        <v>96</v>
      </c>
      <c r="B29" s="13" t="s">
        <v>158</v>
      </c>
      <c r="C29" s="38">
        <v>4</v>
      </c>
      <c r="D29" s="38">
        <v>30</v>
      </c>
      <c r="E29" s="66">
        <f t="shared" si="0"/>
        <v>1.6</v>
      </c>
    </row>
    <row r="30" spans="1:5" ht="16" x14ac:dyDescent="0.2">
      <c r="A30" s="13" t="s">
        <v>96</v>
      </c>
      <c r="B30" s="13" t="s">
        <v>159</v>
      </c>
      <c r="C30" s="38">
        <v>6</v>
      </c>
      <c r="D30" s="38">
        <v>30</v>
      </c>
      <c r="E30" s="66">
        <f t="shared" si="0"/>
        <v>2.4</v>
      </c>
    </row>
    <row r="31" spans="1:5" ht="16" x14ac:dyDescent="0.2">
      <c r="A31" s="13" t="s">
        <v>96</v>
      </c>
      <c r="B31" s="13" t="s">
        <v>241</v>
      </c>
      <c r="C31" s="38">
        <v>6</v>
      </c>
      <c r="D31" s="38">
        <v>30</v>
      </c>
      <c r="E31" s="66">
        <f t="shared" si="0"/>
        <v>2.4</v>
      </c>
    </row>
    <row r="32" spans="1:5" ht="16" x14ac:dyDescent="0.2">
      <c r="A32" s="13" t="s">
        <v>96</v>
      </c>
      <c r="B32" s="13" t="s">
        <v>242</v>
      </c>
      <c r="C32" s="38">
        <v>4</v>
      </c>
      <c r="D32" s="38">
        <v>30</v>
      </c>
      <c r="E32" s="66">
        <f t="shared" si="0"/>
        <v>1.6</v>
      </c>
    </row>
    <row r="33" spans="1:5" ht="16" x14ac:dyDescent="0.2">
      <c r="A33" s="13" t="s">
        <v>96</v>
      </c>
      <c r="B33" s="13" t="s">
        <v>243</v>
      </c>
      <c r="C33" s="38">
        <v>5</v>
      </c>
      <c r="D33" s="38">
        <v>30</v>
      </c>
      <c r="E33" s="66">
        <f t="shared" si="0"/>
        <v>2</v>
      </c>
    </row>
    <row r="34" spans="1:5" ht="16" x14ac:dyDescent="0.2">
      <c r="A34" s="13" t="s">
        <v>198</v>
      </c>
      <c r="B34" s="13" t="s">
        <v>192</v>
      </c>
      <c r="C34" s="38">
        <v>5</v>
      </c>
      <c r="D34" s="38">
        <v>30</v>
      </c>
      <c r="E34" s="66">
        <f t="shared" si="0"/>
        <v>2</v>
      </c>
    </row>
    <row r="35" spans="1:5" ht="16" x14ac:dyDescent="0.2">
      <c r="A35" s="13" t="s">
        <v>198</v>
      </c>
      <c r="B35" s="13" t="s">
        <v>216</v>
      </c>
      <c r="C35" s="38">
        <v>6</v>
      </c>
      <c r="D35" s="38">
        <v>30</v>
      </c>
      <c r="E35" s="66">
        <f t="shared" si="0"/>
        <v>2.4</v>
      </c>
    </row>
    <row r="36" spans="1:5" ht="16" x14ac:dyDescent="0.2">
      <c r="A36" s="13" t="s">
        <v>96</v>
      </c>
      <c r="B36" s="13" t="s">
        <v>220</v>
      </c>
      <c r="C36" s="38">
        <v>5</v>
      </c>
      <c r="D36" s="38">
        <v>30</v>
      </c>
      <c r="E36" s="66">
        <f t="shared" si="0"/>
        <v>2</v>
      </c>
    </row>
    <row r="37" spans="1:5" ht="16" x14ac:dyDescent="0.2">
      <c r="A37" s="13" t="s">
        <v>96</v>
      </c>
      <c r="B37" s="13" t="s">
        <v>221</v>
      </c>
      <c r="C37" s="38">
        <v>6</v>
      </c>
      <c r="D37" s="38">
        <v>30</v>
      </c>
      <c r="E37" s="66">
        <f t="shared" si="0"/>
        <v>2.4</v>
      </c>
    </row>
    <row r="38" spans="1:5" ht="16" x14ac:dyDescent="0.2">
      <c r="A38" s="13" t="s">
        <v>96</v>
      </c>
      <c r="B38" s="13" t="s">
        <v>244</v>
      </c>
      <c r="C38" s="38">
        <v>3</v>
      </c>
      <c r="D38" s="38">
        <v>30</v>
      </c>
      <c r="E38" s="66">
        <f t="shared" si="0"/>
        <v>1.2</v>
      </c>
    </row>
    <row r="39" spans="1:5" ht="16" x14ac:dyDescent="0.2">
      <c r="A39" s="73" t="s">
        <v>96</v>
      </c>
      <c r="B39" s="73" t="s">
        <v>111</v>
      </c>
      <c r="C39" s="75">
        <v>6</v>
      </c>
      <c r="D39" s="75">
        <v>30</v>
      </c>
      <c r="E39" s="66">
        <f t="shared" si="0"/>
        <v>2.4</v>
      </c>
    </row>
    <row r="40" spans="1:5" ht="16" x14ac:dyDescent="0.2">
      <c r="A40" s="73" t="s">
        <v>96</v>
      </c>
      <c r="B40" s="73" t="s">
        <v>245</v>
      </c>
      <c r="C40" s="75">
        <v>2</v>
      </c>
      <c r="D40" s="75">
        <v>30</v>
      </c>
      <c r="E40" s="66">
        <f t="shared" si="0"/>
        <v>0.8</v>
      </c>
    </row>
    <row r="41" spans="1:5" ht="16" x14ac:dyDescent="0.2">
      <c r="A41" s="73" t="s">
        <v>96</v>
      </c>
      <c r="B41" s="73" t="s">
        <v>246</v>
      </c>
      <c r="C41" s="75">
        <v>6</v>
      </c>
      <c r="D41" s="75">
        <v>30</v>
      </c>
      <c r="E41" s="66">
        <f t="shared" si="0"/>
        <v>2.4</v>
      </c>
    </row>
    <row r="42" spans="1:5" ht="16" x14ac:dyDescent="0.2">
      <c r="A42" s="73" t="s">
        <v>198</v>
      </c>
      <c r="B42" s="73" t="s">
        <v>230</v>
      </c>
      <c r="C42" s="75">
        <v>4</v>
      </c>
      <c r="D42" s="75">
        <v>30</v>
      </c>
      <c r="E42" s="66">
        <f t="shared" si="0"/>
        <v>1.6</v>
      </c>
    </row>
    <row r="43" spans="1:5" ht="16" x14ac:dyDescent="0.2">
      <c r="A43" s="73" t="s">
        <v>198</v>
      </c>
      <c r="B43" s="73" t="s">
        <v>234</v>
      </c>
      <c r="C43" s="75">
        <v>7</v>
      </c>
      <c r="D43" s="75">
        <v>30</v>
      </c>
      <c r="E43" s="66">
        <f t="shared" si="0"/>
        <v>2.8000000000000003</v>
      </c>
    </row>
    <row r="44" spans="1:5" ht="16" x14ac:dyDescent="0.2">
      <c r="A44" s="73" t="s">
        <v>101</v>
      </c>
      <c r="B44" s="73" t="s">
        <v>247</v>
      </c>
      <c r="C44" s="75">
        <v>6</v>
      </c>
      <c r="D44" s="75">
        <v>30</v>
      </c>
      <c r="E44" s="66">
        <f t="shared" si="0"/>
        <v>2.4</v>
      </c>
    </row>
    <row r="45" spans="1:5" ht="16" x14ac:dyDescent="0.2">
      <c r="A45" s="73" t="s">
        <v>96</v>
      </c>
      <c r="B45" s="73" t="s">
        <v>248</v>
      </c>
      <c r="C45" s="75">
        <v>5</v>
      </c>
      <c r="D45" s="75">
        <v>30</v>
      </c>
      <c r="E45" s="66">
        <f t="shared" si="0"/>
        <v>2</v>
      </c>
    </row>
    <row r="46" spans="1:5" ht="16" x14ac:dyDescent="0.2">
      <c r="A46" s="73" t="s">
        <v>96</v>
      </c>
      <c r="B46" s="73" t="s">
        <v>249</v>
      </c>
      <c r="C46" s="75">
        <v>6</v>
      </c>
      <c r="D46" s="75">
        <v>30</v>
      </c>
      <c r="E46" s="66">
        <f t="shared" si="0"/>
        <v>2.4</v>
      </c>
    </row>
    <row r="47" spans="1:5" ht="16" x14ac:dyDescent="0.2">
      <c r="A47" s="73" t="s">
        <v>96</v>
      </c>
      <c r="B47" s="73" t="s">
        <v>250</v>
      </c>
      <c r="C47" s="75">
        <v>2</v>
      </c>
      <c r="D47" s="75">
        <v>30</v>
      </c>
      <c r="E47" s="66">
        <f t="shared" si="0"/>
        <v>0.8</v>
      </c>
    </row>
    <row r="48" spans="1:5" ht="16" x14ac:dyDescent="0.2">
      <c r="A48" s="73" t="s">
        <v>96</v>
      </c>
      <c r="B48" s="73" t="s">
        <v>251</v>
      </c>
      <c r="C48" s="75">
        <v>6</v>
      </c>
      <c r="D48" s="75">
        <v>30</v>
      </c>
      <c r="E48" s="66">
        <f t="shared" si="0"/>
        <v>2.4</v>
      </c>
    </row>
    <row r="49" spans="1:5" ht="16" x14ac:dyDescent="0.2">
      <c r="A49" s="73" t="s">
        <v>198</v>
      </c>
      <c r="B49" s="73" t="s">
        <v>238</v>
      </c>
      <c r="C49" s="75">
        <v>9</v>
      </c>
      <c r="D49" s="75">
        <v>30</v>
      </c>
      <c r="E49" s="66">
        <f t="shared" si="0"/>
        <v>3.6</v>
      </c>
    </row>
    <row r="50" spans="1:5" ht="15.75" customHeight="1" x14ac:dyDescent="0.2">
      <c r="A50" s="64"/>
      <c r="B50" s="83"/>
      <c r="C50" s="64"/>
      <c r="D50" s="63"/>
    </row>
    <row r="51" spans="1:5" ht="15.75" customHeight="1" x14ac:dyDescent="0.2"/>
    <row r="52" spans="1:5" ht="15.75" customHeight="1" x14ac:dyDescent="0.2"/>
    <row r="53" spans="1:5" ht="15.75" customHeight="1" x14ac:dyDescent="0.2">
      <c r="B53" s="67" t="s">
        <v>3</v>
      </c>
      <c r="C53" s="67">
        <f>SUM(C39:C49)</f>
        <v>59</v>
      </c>
      <c r="D53" s="68">
        <f t="shared" ref="D53:E53" si="1">SUM(D2:D50)</f>
        <v>1440</v>
      </c>
      <c r="E53" s="68">
        <f t="shared" si="1"/>
        <v>106.80000000000001</v>
      </c>
    </row>
    <row r="54" spans="1:5" ht="15.75" customHeight="1" x14ac:dyDescent="0.2"/>
    <row r="55" spans="1:5" ht="15.75" customHeight="1" x14ac:dyDescent="0.2"/>
    <row r="56" spans="1:5" ht="15.75" customHeight="1" x14ac:dyDescent="0.2">
      <c r="A56" s="50" t="s">
        <v>2</v>
      </c>
      <c r="B56" s="70">
        <v>20</v>
      </c>
      <c r="C56" s="71">
        <v>0.02</v>
      </c>
    </row>
    <row r="57" spans="1:5" ht="15.75" customHeight="1" x14ac:dyDescent="0.2"/>
    <row r="58" spans="1:5" ht="15.75" customHeight="1" x14ac:dyDescent="0.2"/>
    <row r="59" spans="1:5" ht="15.75" customHeight="1" x14ac:dyDescent="0.2"/>
    <row r="60" spans="1:5" ht="15.75" customHeight="1" x14ac:dyDescent="0.2"/>
    <row r="61" spans="1:5" ht="15.75" customHeight="1" x14ac:dyDescent="0.2"/>
    <row r="62" spans="1:5" ht="15.75" customHeight="1" x14ac:dyDescent="0.2"/>
    <row r="63" spans="1:5" ht="15.75" customHeight="1" x14ac:dyDescent="0.2"/>
    <row r="64" spans="1:5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E988"/>
  <sheetViews>
    <sheetView workbookViewId="0"/>
  </sheetViews>
  <sheetFormatPr baseColWidth="10" defaultColWidth="11.1640625" defaultRowHeight="15" customHeight="1" x14ac:dyDescent="0.2"/>
  <sheetData>
    <row r="1" spans="1:5" ht="16" x14ac:dyDescent="0.2">
      <c r="A1" s="62" t="s">
        <v>53</v>
      </c>
      <c r="B1" s="63" t="s">
        <v>54</v>
      </c>
      <c r="C1" s="62" t="s">
        <v>55</v>
      </c>
      <c r="D1" s="62" t="s">
        <v>29</v>
      </c>
      <c r="E1" s="62" t="s">
        <v>56</v>
      </c>
    </row>
    <row r="2" spans="1:5" ht="16" x14ac:dyDescent="0.2">
      <c r="A2" s="13" t="s">
        <v>252</v>
      </c>
      <c r="B2" s="82">
        <v>46054.5</v>
      </c>
      <c r="C2" s="38">
        <v>10</v>
      </c>
      <c r="D2" s="38">
        <v>35</v>
      </c>
      <c r="E2" s="66">
        <f t="shared" ref="E2:E29" si="0">C2*$B$36*$C$36</f>
        <v>4</v>
      </c>
    </row>
    <row r="3" spans="1:5" ht="16" x14ac:dyDescent="0.2">
      <c r="A3" s="13" t="s">
        <v>59</v>
      </c>
      <c r="B3" s="82">
        <v>46143.5</v>
      </c>
      <c r="C3" s="38">
        <v>11</v>
      </c>
      <c r="D3" s="38">
        <v>35</v>
      </c>
      <c r="E3" s="66">
        <f t="shared" si="0"/>
        <v>4.4000000000000004</v>
      </c>
    </row>
    <row r="4" spans="1:5" ht="16" x14ac:dyDescent="0.2">
      <c r="A4" s="13" t="s">
        <v>57</v>
      </c>
      <c r="B4" s="82">
        <v>46143.708333333336</v>
      </c>
      <c r="C4" s="38">
        <v>10</v>
      </c>
      <c r="D4" s="38">
        <v>35</v>
      </c>
      <c r="E4" s="66">
        <f t="shared" si="0"/>
        <v>4</v>
      </c>
    </row>
    <row r="5" spans="1:5" ht="16" x14ac:dyDescent="0.2">
      <c r="A5" s="13" t="s">
        <v>58</v>
      </c>
      <c r="B5" s="82">
        <v>46174.708333333336</v>
      </c>
      <c r="C5" s="38">
        <v>10</v>
      </c>
      <c r="D5" s="38">
        <v>35</v>
      </c>
      <c r="E5" s="66">
        <f t="shared" si="0"/>
        <v>4</v>
      </c>
    </row>
    <row r="6" spans="1:5" ht="16" x14ac:dyDescent="0.2">
      <c r="A6" s="13" t="s">
        <v>66</v>
      </c>
      <c r="B6" s="82">
        <v>46235.708333333336</v>
      </c>
      <c r="C6" s="38">
        <v>8</v>
      </c>
      <c r="D6" s="38">
        <v>35</v>
      </c>
      <c r="E6" s="66">
        <f t="shared" si="0"/>
        <v>3.2</v>
      </c>
    </row>
    <row r="7" spans="1:5" ht="16" x14ac:dyDescent="0.2">
      <c r="A7" s="13" t="s">
        <v>66</v>
      </c>
      <c r="B7" s="82">
        <v>46235.75</v>
      </c>
      <c r="C7" s="38">
        <v>10</v>
      </c>
      <c r="D7" s="38">
        <v>35</v>
      </c>
      <c r="E7" s="66">
        <f t="shared" si="0"/>
        <v>4</v>
      </c>
    </row>
    <row r="8" spans="1:5" ht="16" x14ac:dyDescent="0.2">
      <c r="A8" s="13" t="s">
        <v>253</v>
      </c>
      <c r="B8" s="82">
        <v>46235.791666666664</v>
      </c>
      <c r="C8" s="38">
        <v>5</v>
      </c>
      <c r="D8" s="38">
        <v>35</v>
      </c>
      <c r="E8" s="66">
        <f t="shared" si="0"/>
        <v>2</v>
      </c>
    </row>
    <row r="9" spans="1:5" ht="16" x14ac:dyDescent="0.2">
      <c r="A9" s="13" t="s">
        <v>252</v>
      </c>
      <c r="B9" s="82">
        <v>46266.5</v>
      </c>
      <c r="C9" s="38">
        <v>11</v>
      </c>
      <c r="D9" s="38">
        <v>35</v>
      </c>
      <c r="E9" s="66">
        <f t="shared" si="0"/>
        <v>4.4000000000000004</v>
      </c>
    </row>
    <row r="10" spans="1:5" ht="16" x14ac:dyDescent="0.2">
      <c r="A10" s="13" t="s">
        <v>57</v>
      </c>
      <c r="B10" s="82">
        <v>46357.708333333336</v>
      </c>
      <c r="C10" s="38">
        <v>10</v>
      </c>
      <c r="D10" s="38">
        <v>35</v>
      </c>
      <c r="E10" s="66">
        <f t="shared" si="0"/>
        <v>4</v>
      </c>
    </row>
    <row r="11" spans="1:5" ht="16" x14ac:dyDescent="0.2">
      <c r="A11" s="13" t="s">
        <v>57</v>
      </c>
      <c r="B11" s="13" t="s">
        <v>139</v>
      </c>
      <c r="C11" s="38">
        <v>9</v>
      </c>
      <c r="D11" s="38">
        <v>35</v>
      </c>
      <c r="E11" s="66">
        <f t="shared" si="0"/>
        <v>3.6</v>
      </c>
    </row>
    <row r="12" spans="1:5" ht="16" x14ac:dyDescent="0.2">
      <c r="A12" s="73" t="s">
        <v>66</v>
      </c>
      <c r="B12" s="73" t="s">
        <v>144</v>
      </c>
      <c r="C12" s="75">
        <v>9</v>
      </c>
      <c r="D12" s="75">
        <v>35</v>
      </c>
      <c r="E12" s="66">
        <f t="shared" si="0"/>
        <v>3.6</v>
      </c>
    </row>
    <row r="13" spans="1:5" ht="16" x14ac:dyDescent="0.2">
      <c r="A13" s="73" t="s">
        <v>57</v>
      </c>
      <c r="B13" s="73" t="s">
        <v>145</v>
      </c>
      <c r="C13" s="75">
        <v>7</v>
      </c>
      <c r="D13" s="75">
        <v>35</v>
      </c>
      <c r="E13" s="66">
        <f t="shared" si="0"/>
        <v>2.8000000000000003</v>
      </c>
    </row>
    <row r="14" spans="1:5" ht="16" x14ac:dyDescent="0.2">
      <c r="A14" s="73" t="s">
        <v>254</v>
      </c>
      <c r="B14" s="73" t="s">
        <v>146</v>
      </c>
      <c r="C14" s="75">
        <v>8</v>
      </c>
      <c r="D14" s="75">
        <v>35</v>
      </c>
      <c r="E14" s="66">
        <f t="shared" si="0"/>
        <v>3.2</v>
      </c>
    </row>
    <row r="15" spans="1:5" ht="16" x14ac:dyDescent="0.2">
      <c r="A15" s="73" t="s">
        <v>255</v>
      </c>
      <c r="B15" s="73" t="s">
        <v>256</v>
      </c>
      <c r="C15" s="75">
        <v>10</v>
      </c>
      <c r="D15" s="75">
        <v>35</v>
      </c>
      <c r="E15" s="66">
        <f t="shared" si="0"/>
        <v>4</v>
      </c>
    </row>
    <row r="16" spans="1:5" ht="16" x14ac:dyDescent="0.2">
      <c r="A16" s="73" t="s">
        <v>66</v>
      </c>
      <c r="B16" s="73" t="s">
        <v>108</v>
      </c>
      <c r="C16" s="75">
        <v>11</v>
      </c>
      <c r="D16" s="75">
        <v>35</v>
      </c>
      <c r="E16" s="66">
        <f t="shared" si="0"/>
        <v>4.4000000000000004</v>
      </c>
    </row>
    <row r="17" spans="1:5" ht="16" x14ac:dyDescent="0.2">
      <c r="A17" s="73" t="s">
        <v>57</v>
      </c>
      <c r="B17" s="73" t="s">
        <v>165</v>
      </c>
      <c r="C17" s="75">
        <v>10</v>
      </c>
      <c r="D17" s="75">
        <v>35</v>
      </c>
      <c r="E17" s="66">
        <f t="shared" si="0"/>
        <v>4</v>
      </c>
    </row>
    <row r="18" spans="1:5" ht="16" x14ac:dyDescent="0.2">
      <c r="A18" s="73" t="s">
        <v>57</v>
      </c>
      <c r="B18" s="73" t="s">
        <v>172</v>
      </c>
      <c r="C18" s="75">
        <v>10</v>
      </c>
      <c r="D18" s="75">
        <v>35</v>
      </c>
      <c r="E18" s="66">
        <f t="shared" si="0"/>
        <v>4</v>
      </c>
    </row>
    <row r="19" spans="1:5" ht="16" x14ac:dyDescent="0.2">
      <c r="A19" s="73" t="s">
        <v>252</v>
      </c>
      <c r="B19" s="73" t="s">
        <v>177</v>
      </c>
      <c r="C19" s="75">
        <v>10</v>
      </c>
      <c r="D19" s="75">
        <v>35</v>
      </c>
      <c r="E19" s="66">
        <f t="shared" si="0"/>
        <v>4</v>
      </c>
    </row>
    <row r="20" spans="1:5" ht="16" x14ac:dyDescent="0.2">
      <c r="A20" s="73" t="s">
        <v>66</v>
      </c>
      <c r="B20" s="73" t="s">
        <v>178</v>
      </c>
      <c r="C20" s="75">
        <v>10</v>
      </c>
      <c r="D20" s="75">
        <v>35</v>
      </c>
      <c r="E20" s="66">
        <f t="shared" si="0"/>
        <v>4</v>
      </c>
    </row>
    <row r="21" spans="1:5" ht="16" x14ac:dyDescent="0.2">
      <c r="A21" s="73" t="s">
        <v>253</v>
      </c>
      <c r="B21" s="73" t="s">
        <v>179</v>
      </c>
      <c r="C21" s="75">
        <v>8</v>
      </c>
      <c r="D21" s="75">
        <v>35</v>
      </c>
      <c r="E21" s="66">
        <f t="shared" si="0"/>
        <v>3.2</v>
      </c>
    </row>
    <row r="22" spans="1:5" ht="16" x14ac:dyDescent="0.2">
      <c r="A22" s="73" t="s">
        <v>252</v>
      </c>
      <c r="B22" s="73" t="s">
        <v>123</v>
      </c>
      <c r="C22" s="75">
        <v>8</v>
      </c>
      <c r="D22" s="75">
        <v>35</v>
      </c>
      <c r="E22" s="66">
        <f t="shared" si="0"/>
        <v>3.2</v>
      </c>
    </row>
    <row r="23" spans="1:5" ht="16" x14ac:dyDescent="0.2">
      <c r="A23" s="73" t="s">
        <v>93</v>
      </c>
      <c r="B23" s="73" t="s">
        <v>244</v>
      </c>
      <c r="C23" s="75">
        <v>8</v>
      </c>
      <c r="D23" s="75">
        <v>35</v>
      </c>
      <c r="E23" s="66">
        <f t="shared" si="0"/>
        <v>3.2</v>
      </c>
    </row>
    <row r="24" spans="1:5" ht="16" x14ac:dyDescent="0.2">
      <c r="A24" s="73" t="s">
        <v>57</v>
      </c>
      <c r="B24" s="73" t="s">
        <v>125</v>
      </c>
      <c r="C24" s="75">
        <v>10</v>
      </c>
      <c r="D24" s="75">
        <v>35</v>
      </c>
      <c r="E24" s="66">
        <f t="shared" si="0"/>
        <v>4</v>
      </c>
    </row>
    <row r="25" spans="1:5" ht="16" x14ac:dyDescent="0.2">
      <c r="A25" s="73" t="s">
        <v>57</v>
      </c>
      <c r="B25" s="73" t="s">
        <v>257</v>
      </c>
      <c r="C25" s="75">
        <v>10</v>
      </c>
      <c r="D25" s="75">
        <v>35</v>
      </c>
      <c r="E25" s="66">
        <f t="shared" si="0"/>
        <v>4</v>
      </c>
    </row>
    <row r="26" spans="1:5" ht="16" x14ac:dyDescent="0.2">
      <c r="A26" s="73" t="s">
        <v>255</v>
      </c>
      <c r="B26" s="73" t="s">
        <v>258</v>
      </c>
      <c r="C26" s="75">
        <v>6</v>
      </c>
      <c r="D26" s="75">
        <v>35</v>
      </c>
      <c r="E26" s="66">
        <f t="shared" si="0"/>
        <v>2.4</v>
      </c>
    </row>
    <row r="27" spans="1:5" ht="16" x14ac:dyDescent="0.2">
      <c r="A27" s="73" t="s">
        <v>57</v>
      </c>
      <c r="B27" s="73" t="s">
        <v>259</v>
      </c>
      <c r="C27" s="75">
        <v>9</v>
      </c>
      <c r="D27" s="75">
        <v>35</v>
      </c>
      <c r="E27" s="66">
        <f t="shared" si="0"/>
        <v>3.6</v>
      </c>
    </row>
    <row r="28" spans="1:5" ht="16" x14ac:dyDescent="0.2">
      <c r="A28" s="73" t="s">
        <v>254</v>
      </c>
      <c r="B28" s="73" t="s">
        <v>260</v>
      </c>
      <c r="C28" s="75">
        <v>5</v>
      </c>
      <c r="D28" s="75">
        <v>35</v>
      </c>
      <c r="E28" s="66">
        <f t="shared" si="0"/>
        <v>2</v>
      </c>
    </row>
    <row r="29" spans="1:5" ht="16" x14ac:dyDescent="0.2">
      <c r="A29" s="73" t="s">
        <v>252</v>
      </c>
      <c r="B29" s="73" t="s">
        <v>129</v>
      </c>
      <c r="C29" s="75">
        <v>7</v>
      </c>
      <c r="D29" s="75">
        <v>35</v>
      </c>
      <c r="E29" s="66">
        <f t="shared" si="0"/>
        <v>2.8000000000000003</v>
      </c>
    </row>
    <row r="30" spans="1:5" ht="15.75" customHeight="1" x14ac:dyDescent="0.2">
      <c r="A30" s="84" t="s">
        <v>261</v>
      </c>
      <c r="B30" s="84" t="s">
        <v>262</v>
      </c>
      <c r="C30" s="84" t="s">
        <v>263</v>
      </c>
      <c r="D30" s="75">
        <v>35</v>
      </c>
      <c r="E30" s="66">
        <v>0</v>
      </c>
    </row>
    <row r="31" spans="1:5" ht="15.75" customHeight="1" x14ac:dyDescent="0.2">
      <c r="A31" s="84" t="s">
        <v>264</v>
      </c>
      <c r="B31" s="84" t="s">
        <v>265</v>
      </c>
      <c r="C31" s="84" t="s">
        <v>263</v>
      </c>
      <c r="D31" s="75">
        <v>35</v>
      </c>
      <c r="E31" s="66">
        <v>0</v>
      </c>
    </row>
    <row r="32" spans="1:5" ht="15.75" customHeight="1" x14ac:dyDescent="0.2"/>
    <row r="33" spans="1:5" ht="15.75" customHeight="1" x14ac:dyDescent="0.2">
      <c r="B33" s="67" t="s">
        <v>3</v>
      </c>
      <c r="C33" s="67">
        <f t="shared" ref="C33:E33" si="1">SUM(C2:C31)</f>
        <v>250</v>
      </c>
      <c r="D33" s="68">
        <f t="shared" si="1"/>
        <v>1050</v>
      </c>
      <c r="E33" s="69">
        <f t="shared" si="1"/>
        <v>100</v>
      </c>
    </row>
    <row r="34" spans="1:5" ht="15.75" customHeight="1" x14ac:dyDescent="0.2"/>
    <row r="35" spans="1:5" ht="15.75" customHeight="1" x14ac:dyDescent="0.2"/>
    <row r="36" spans="1:5" ht="15.75" customHeight="1" x14ac:dyDescent="0.2">
      <c r="A36" s="50" t="s">
        <v>2</v>
      </c>
      <c r="B36" s="70">
        <v>20</v>
      </c>
      <c r="C36" s="71">
        <v>0.02</v>
      </c>
    </row>
    <row r="37" spans="1:5" ht="15.75" customHeight="1" x14ac:dyDescent="0.2"/>
    <row r="38" spans="1:5" ht="15.75" customHeight="1" x14ac:dyDescent="0.2"/>
    <row r="39" spans="1:5" ht="15.75" customHeight="1" x14ac:dyDescent="0.2"/>
    <row r="40" spans="1:5" ht="15.75" customHeight="1" x14ac:dyDescent="0.2"/>
    <row r="41" spans="1:5" ht="15.75" customHeight="1" x14ac:dyDescent="0.2"/>
    <row r="42" spans="1:5" ht="15.75" customHeight="1" x14ac:dyDescent="0.2"/>
    <row r="43" spans="1:5" ht="15.75" customHeight="1" x14ac:dyDescent="0.2"/>
    <row r="44" spans="1:5" ht="15.75" customHeight="1" x14ac:dyDescent="0.2"/>
    <row r="45" spans="1:5" ht="15.75" customHeight="1" x14ac:dyDescent="0.2"/>
    <row r="46" spans="1:5" ht="15.75" customHeight="1" x14ac:dyDescent="0.2"/>
    <row r="47" spans="1:5" ht="15.75" customHeight="1" x14ac:dyDescent="0.2"/>
    <row r="48" spans="1:5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E979"/>
  <sheetViews>
    <sheetView workbookViewId="0"/>
  </sheetViews>
  <sheetFormatPr baseColWidth="10" defaultColWidth="11.1640625" defaultRowHeight="15" customHeight="1" x14ac:dyDescent="0.2"/>
  <sheetData>
    <row r="1" spans="1:5" ht="16" x14ac:dyDescent="0.2">
      <c r="A1" s="62" t="s">
        <v>53</v>
      </c>
      <c r="B1" s="63" t="s">
        <v>54</v>
      </c>
      <c r="C1" s="62" t="s">
        <v>55</v>
      </c>
      <c r="D1" s="62" t="s">
        <v>29</v>
      </c>
      <c r="E1" s="62"/>
    </row>
    <row r="2" spans="1:5" ht="16" x14ac:dyDescent="0.2">
      <c r="A2" s="73" t="s">
        <v>130</v>
      </c>
      <c r="B2" s="74">
        <v>46054.458333333336</v>
      </c>
      <c r="C2" s="75">
        <v>10</v>
      </c>
      <c r="D2" s="75">
        <v>50</v>
      </c>
      <c r="E2" s="66"/>
    </row>
    <row r="3" spans="1:5" ht="16" x14ac:dyDescent="0.2">
      <c r="A3" s="73" t="s">
        <v>131</v>
      </c>
      <c r="B3" s="74">
        <v>46082.5</v>
      </c>
      <c r="C3" s="75">
        <v>11</v>
      </c>
      <c r="D3" s="75">
        <v>50</v>
      </c>
      <c r="E3" s="66"/>
    </row>
    <row r="4" spans="1:5" ht="16" x14ac:dyDescent="0.2">
      <c r="A4" s="73" t="s">
        <v>131</v>
      </c>
      <c r="B4" s="74">
        <v>46143.333333333336</v>
      </c>
      <c r="C4" s="75">
        <v>11</v>
      </c>
      <c r="D4" s="75">
        <v>50</v>
      </c>
      <c r="E4" s="66"/>
    </row>
    <row r="5" spans="1:5" ht="16" x14ac:dyDescent="0.2">
      <c r="A5" s="73" t="s">
        <v>130</v>
      </c>
      <c r="B5" s="76">
        <v>46174.333333333336</v>
      </c>
      <c r="C5" s="75">
        <v>9</v>
      </c>
      <c r="D5" s="75">
        <v>50</v>
      </c>
      <c r="E5" s="66"/>
    </row>
    <row r="6" spans="1:5" ht="16" x14ac:dyDescent="0.2">
      <c r="A6" s="73" t="s">
        <v>130</v>
      </c>
      <c r="B6" s="73" t="s">
        <v>199</v>
      </c>
      <c r="C6" s="75">
        <v>8</v>
      </c>
      <c r="D6" s="75">
        <v>50</v>
      </c>
      <c r="E6" s="66"/>
    </row>
    <row r="7" spans="1:5" ht="16" x14ac:dyDescent="0.2">
      <c r="A7" s="73" t="s">
        <v>130</v>
      </c>
      <c r="B7" s="73" t="s">
        <v>154</v>
      </c>
      <c r="C7" s="75">
        <v>10</v>
      </c>
      <c r="D7" s="75">
        <v>50</v>
      </c>
      <c r="E7" s="66"/>
    </row>
    <row r="8" spans="1:5" ht="16" x14ac:dyDescent="0.2">
      <c r="A8" s="73" t="s">
        <v>130</v>
      </c>
      <c r="B8" s="73" t="s">
        <v>209</v>
      </c>
      <c r="C8" s="75">
        <v>6</v>
      </c>
      <c r="D8" s="75">
        <v>50</v>
      </c>
      <c r="E8" s="66"/>
    </row>
    <row r="9" spans="1:5" ht="16" x14ac:dyDescent="0.2">
      <c r="A9" s="73" t="s">
        <v>131</v>
      </c>
      <c r="B9" s="73" t="s">
        <v>242</v>
      </c>
      <c r="C9" s="75">
        <v>9</v>
      </c>
      <c r="D9" s="75">
        <v>50</v>
      </c>
      <c r="E9" s="66"/>
    </row>
    <row r="10" spans="1:5" ht="16" x14ac:dyDescent="0.2">
      <c r="A10" s="73" t="s">
        <v>130</v>
      </c>
      <c r="B10" s="73" t="s">
        <v>266</v>
      </c>
      <c r="C10" s="75">
        <v>10</v>
      </c>
      <c r="D10" s="75">
        <v>50</v>
      </c>
      <c r="E10" s="66"/>
    </row>
    <row r="11" spans="1:5" ht="16" x14ac:dyDescent="0.2">
      <c r="A11" s="73" t="s">
        <v>130</v>
      </c>
      <c r="B11" s="73" t="s">
        <v>110</v>
      </c>
      <c r="C11" s="75">
        <v>10</v>
      </c>
      <c r="D11" s="75">
        <v>50</v>
      </c>
      <c r="E11" s="66"/>
    </row>
    <row r="12" spans="1:5" ht="16" x14ac:dyDescent="0.2">
      <c r="A12" s="73" t="s">
        <v>131</v>
      </c>
      <c r="B12" s="73" t="s">
        <v>187</v>
      </c>
      <c r="C12" s="75">
        <v>10</v>
      </c>
      <c r="D12" s="75">
        <v>50</v>
      </c>
      <c r="E12" s="66"/>
    </row>
    <row r="13" spans="1:5" ht="16" x14ac:dyDescent="0.2">
      <c r="A13" s="73" t="s">
        <v>130</v>
      </c>
      <c r="B13" s="73" t="s">
        <v>222</v>
      </c>
      <c r="C13" s="75">
        <v>5</v>
      </c>
      <c r="D13" s="75">
        <v>50</v>
      </c>
      <c r="E13" s="66"/>
    </row>
    <row r="14" spans="1:5" ht="16" x14ac:dyDescent="0.2">
      <c r="A14" s="73" t="s">
        <v>130</v>
      </c>
      <c r="B14" s="73" t="s">
        <v>267</v>
      </c>
      <c r="C14" s="75">
        <v>9</v>
      </c>
      <c r="D14" s="75">
        <v>50</v>
      </c>
      <c r="E14" s="66"/>
    </row>
    <row r="15" spans="1:5" ht="16" x14ac:dyDescent="0.2">
      <c r="A15" s="73" t="s">
        <v>130</v>
      </c>
      <c r="B15" s="73" t="s">
        <v>225</v>
      </c>
      <c r="C15" s="75">
        <v>9</v>
      </c>
      <c r="D15" s="75">
        <v>50</v>
      </c>
      <c r="E15" s="66"/>
    </row>
    <row r="16" spans="1:5" ht="16" x14ac:dyDescent="0.2">
      <c r="A16" s="73" t="s">
        <v>130</v>
      </c>
      <c r="B16" s="73" t="s">
        <v>268</v>
      </c>
      <c r="C16" s="75">
        <v>10</v>
      </c>
      <c r="D16" s="75">
        <v>50</v>
      </c>
      <c r="E16" s="66"/>
    </row>
    <row r="17" spans="1:5" ht="16" x14ac:dyDescent="0.2">
      <c r="A17" s="73" t="s">
        <v>130</v>
      </c>
      <c r="B17" s="73" t="s">
        <v>231</v>
      </c>
      <c r="C17" s="75">
        <v>10</v>
      </c>
      <c r="D17" s="75">
        <v>50</v>
      </c>
      <c r="E17" s="66"/>
    </row>
    <row r="18" spans="1:5" ht="16" x14ac:dyDescent="0.2">
      <c r="A18" s="73" t="s">
        <v>131</v>
      </c>
      <c r="B18" s="73" t="s">
        <v>117</v>
      </c>
      <c r="C18" s="75">
        <v>10</v>
      </c>
      <c r="D18" s="75">
        <v>50</v>
      </c>
      <c r="E18" s="66"/>
    </row>
    <row r="19" spans="1:5" ht="16" x14ac:dyDescent="0.2">
      <c r="A19" s="73" t="s">
        <v>130</v>
      </c>
      <c r="B19" s="73" t="s">
        <v>251</v>
      </c>
      <c r="C19" s="75">
        <v>10</v>
      </c>
      <c r="D19" s="75">
        <v>50</v>
      </c>
      <c r="E19" s="66"/>
    </row>
    <row r="20" spans="1:5" ht="16" x14ac:dyDescent="0.2">
      <c r="A20" s="73" t="s">
        <v>131</v>
      </c>
      <c r="B20" s="73" t="s">
        <v>237</v>
      </c>
      <c r="C20" s="75">
        <v>10</v>
      </c>
      <c r="D20" s="75">
        <v>50</v>
      </c>
      <c r="E20" s="66"/>
    </row>
    <row r="21" spans="1:5" ht="15.75" customHeight="1" x14ac:dyDescent="0.2">
      <c r="A21" s="64"/>
      <c r="B21" s="83"/>
      <c r="C21" s="64"/>
      <c r="D21" s="63"/>
    </row>
    <row r="22" spans="1:5" ht="15.75" customHeight="1" x14ac:dyDescent="0.2"/>
    <row r="23" spans="1:5" ht="15.75" customHeight="1" x14ac:dyDescent="0.2"/>
    <row r="24" spans="1:5" ht="15.75" customHeight="1" x14ac:dyDescent="0.2">
      <c r="B24" s="67" t="s">
        <v>3</v>
      </c>
      <c r="C24" s="67">
        <f>SUM(C2:C20)</f>
        <v>177</v>
      </c>
      <c r="D24" s="68">
        <f>SUM(D2:D21)</f>
        <v>950</v>
      </c>
      <c r="E24" s="69"/>
    </row>
    <row r="25" spans="1:5" ht="15.75" customHeight="1" x14ac:dyDescent="0.2"/>
    <row r="26" spans="1:5" ht="15.75" customHeight="1" x14ac:dyDescent="0.2"/>
    <row r="27" spans="1:5" ht="15.75" customHeight="1" x14ac:dyDescent="0.2">
      <c r="A27" s="50" t="s">
        <v>2</v>
      </c>
      <c r="B27" s="70">
        <v>20</v>
      </c>
      <c r="C27" s="71">
        <v>0.02</v>
      </c>
    </row>
    <row r="28" spans="1:5" ht="15.75" customHeight="1" x14ac:dyDescent="0.2"/>
    <row r="29" spans="1:5" ht="15.75" customHeight="1" x14ac:dyDescent="0.2"/>
    <row r="30" spans="1:5" ht="15.75" customHeight="1" x14ac:dyDescent="0.2"/>
    <row r="31" spans="1:5" ht="15.75" customHeight="1" x14ac:dyDescent="0.2"/>
    <row r="32" spans="1: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E857"/>
  <sheetViews>
    <sheetView workbookViewId="0"/>
  </sheetViews>
  <sheetFormatPr baseColWidth="10" defaultColWidth="11.1640625" defaultRowHeight="15" customHeight="1" x14ac:dyDescent="0.2"/>
  <cols>
    <col min="1" max="1" width="14.83203125" customWidth="1"/>
  </cols>
  <sheetData>
    <row r="1" spans="1:5" ht="16" x14ac:dyDescent="0.2">
      <c r="A1" s="62" t="s">
        <v>53</v>
      </c>
      <c r="B1" s="63" t="s">
        <v>54</v>
      </c>
      <c r="C1" s="62" t="s">
        <v>55</v>
      </c>
      <c r="D1" s="62" t="s">
        <v>29</v>
      </c>
      <c r="E1" s="62" t="s">
        <v>56</v>
      </c>
    </row>
    <row r="2" spans="1:5" ht="16" x14ac:dyDescent="0.2">
      <c r="A2" s="64" t="s">
        <v>75</v>
      </c>
      <c r="B2" s="64" t="s">
        <v>269</v>
      </c>
      <c r="C2" s="63">
        <v>10</v>
      </c>
      <c r="D2" s="72">
        <v>40</v>
      </c>
      <c r="E2" s="66">
        <f>C2*$B$7*$C$7</f>
        <v>4</v>
      </c>
    </row>
    <row r="3" spans="1:5" ht="15.75" customHeight="1" x14ac:dyDescent="0.2">
      <c r="B3" s="67" t="s">
        <v>3</v>
      </c>
      <c r="C3" s="67">
        <f>SUM(C2)</f>
        <v>10</v>
      </c>
      <c r="D3" s="68">
        <f>SUM(D2)</f>
        <v>40</v>
      </c>
      <c r="E3" s="68">
        <f>SUM(E2)</f>
        <v>4</v>
      </c>
    </row>
    <row r="4" spans="1:5" ht="15.75" customHeight="1" x14ac:dyDescent="0.2"/>
    <row r="5" spans="1:5" ht="15.75" customHeight="1" x14ac:dyDescent="0.2"/>
    <row r="6" spans="1:5" ht="15.75" customHeight="1" x14ac:dyDescent="0.2"/>
    <row r="7" spans="1:5" ht="15.75" customHeight="1" x14ac:dyDescent="0.2">
      <c r="A7" s="50" t="s">
        <v>2</v>
      </c>
      <c r="B7" s="70">
        <v>20</v>
      </c>
      <c r="C7" s="71">
        <v>0.02</v>
      </c>
    </row>
    <row r="8" spans="1:5" ht="15.75" customHeight="1" x14ac:dyDescent="0.2"/>
    <row r="9" spans="1:5" ht="15.75" customHeight="1" x14ac:dyDescent="0.2"/>
    <row r="10" spans="1:5" ht="15.75" customHeight="1" x14ac:dyDescent="0.2"/>
    <row r="11" spans="1:5" ht="15.75" customHeight="1" x14ac:dyDescent="0.2"/>
    <row r="12" spans="1:5" ht="15.75" customHeight="1" x14ac:dyDescent="0.2"/>
    <row r="13" spans="1:5" ht="15.75" customHeight="1" x14ac:dyDescent="0.2"/>
    <row r="14" spans="1:5" ht="15.75" customHeight="1" x14ac:dyDescent="0.2"/>
    <row r="15" spans="1:5" ht="15.75" customHeight="1" x14ac:dyDescent="0.2"/>
    <row r="16" spans="1:5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E860"/>
  <sheetViews>
    <sheetView workbookViewId="0"/>
  </sheetViews>
  <sheetFormatPr baseColWidth="10" defaultColWidth="11.1640625" defaultRowHeight="15" customHeight="1" x14ac:dyDescent="0.2"/>
  <cols>
    <col min="1" max="1" width="14.83203125" customWidth="1"/>
  </cols>
  <sheetData>
    <row r="1" spans="1:5" ht="16" x14ac:dyDescent="0.2">
      <c r="A1" s="62" t="s">
        <v>53</v>
      </c>
      <c r="B1" s="63" t="s">
        <v>54</v>
      </c>
      <c r="C1" s="62" t="s">
        <v>55</v>
      </c>
      <c r="D1" s="62" t="s">
        <v>29</v>
      </c>
      <c r="E1" s="62" t="s">
        <v>56</v>
      </c>
    </row>
    <row r="2" spans="1:5" ht="16" x14ac:dyDescent="0.2">
      <c r="A2" s="64" t="s">
        <v>96</v>
      </c>
      <c r="B2" s="64" t="s">
        <v>270</v>
      </c>
      <c r="C2" s="63">
        <v>5</v>
      </c>
      <c r="D2" s="72">
        <v>30</v>
      </c>
      <c r="E2" s="66">
        <f t="shared" ref="E2:E5" si="0">C2*$B$10*$C$10</f>
        <v>2</v>
      </c>
    </row>
    <row r="3" spans="1:5" ht="15.75" customHeight="1" x14ac:dyDescent="0.2">
      <c r="A3" s="64" t="s">
        <v>96</v>
      </c>
      <c r="B3" s="64" t="s">
        <v>271</v>
      </c>
      <c r="C3" s="63">
        <v>7</v>
      </c>
      <c r="D3" s="72">
        <v>30</v>
      </c>
      <c r="E3" s="66">
        <f t="shared" si="0"/>
        <v>2.8000000000000003</v>
      </c>
    </row>
    <row r="4" spans="1:5" ht="15.75" customHeight="1" x14ac:dyDescent="0.2">
      <c r="A4" s="64" t="s">
        <v>96</v>
      </c>
      <c r="B4" s="64" t="s">
        <v>272</v>
      </c>
      <c r="C4" s="63">
        <v>6</v>
      </c>
      <c r="D4" s="72">
        <v>30</v>
      </c>
      <c r="E4" s="66">
        <f t="shared" si="0"/>
        <v>2.4</v>
      </c>
    </row>
    <row r="5" spans="1:5" ht="15.75" customHeight="1" x14ac:dyDescent="0.2">
      <c r="A5" s="84" t="s">
        <v>96</v>
      </c>
      <c r="B5" s="84" t="s">
        <v>226</v>
      </c>
      <c r="C5" s="84">
        <v>2</v>
      </c>
      <c r="D5" s="72">
        <v>30</v>
      </c>
      <c r="E5" s="66">
        <f t="shared" si="0"/>
        <v>0.8</v>
      </c>
    </row>
    <row r="6" spans="1:5" ht="15.75" customHeight="1" x14ac:dyDescent="0.2">
      <c r="B6" s="67" t="s">
        <v>3</v>
      </c>
      <c r="C6" s="67">
        <f>SUM(C2:C5)</f>
        <v>20</v>
      </c>
      <c r="D6" s="68">
        <f>SUM(D2:D5)</f>
        <v>120</v>
      </c>
      <c r="E6" s="68">
        <f>SUM(E2:E5)</f>
        <v>8.0000000000000018</v>
      </c>
    </row>
    <row r="7" spans="1:5" ht="15.75" customHeight="1" x14ac:dyDescent="0.2"/>
    <row r="8" spans="1:5" ht="15.75" customHeight="1" x14ac:dyDescent="0.2"/>
    <row r="9" spans="1:5" ht="15.75" customHeight="1" x14ac:dyDescent="0.2"/>
    <row r="10" spans="1:5" ht="15.75" customHeight="1" x14ac:dyDescent="0.2">
      <c r="A10" s="50" t="s">
        <v>2</v>
      </c>
      <c r="B10" s="70">
        <v>20</v>
      </c>
      <c r="C10" s="71">
        <v>0.02</v>
      </c>
    </row>
    <row r="11" spans="1:5" ht="15.75" customHeight="1" x14ac:dyDescent="0.2"/>
    <row r="12" spans="1:5" ht="15.75" customHeight="1" x14ac:dyDescent="0.2"/>
    <row r="13" spans="1:5" ht="15.75" customHeight="1" x14ac:dyDescent="0.2"/>
    <row r="14" spans="1:5" ht="15.75" customHeight="1" x14ac:dyDescent="0.2"/>
    <row r="15" spans="1:5" ht="15.75" customHeight="1" x14ac:dyDescent="0.2"/>
    <row r="16" spans="1:5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E864"/>
  <sheetViews>
    <sheetView workbookViewId="0"/>
  </sheetViews>
  <sheetFormatPr baseColWidth="10" defaultColWidth="11.1640625" defaultRowHeight="15" customHeight="1" x14ac:dyDescent="0.2"/>
  <cols>
    <col min="1" max="1" width="14.83203125" customWidth="1"/>
  </cols>
  <sheetData>
    <row r="1" spans="1:5" ht="16" x14ac:dyDescent="0.2">
      <c r="A1" s="62" t="s">
        <v>53</v>
      </c>
      <c r="B1" s="63" t="s">
        <v>54</v>
      </c>
      <c r="C1" s="62" t="s">
        <v>55</v>
      </c>
      <c r="D1" s="62" t="s">
        <v>29</v>
      </c>
      <c r="E1" s="62" t="s">
        <v>56</v>
      </c>
    </row>
    <row r="2" spans="1:5" ht="16" x14ac:dyDescent="0.2">
      <c r="A2" s="64" t="s">
        <v>96</v>
      </c>
      <c r="B2" s="64" t="s">
        <v>217</v>
      </c>
      <c r="C2" s="63">
        <v>1</v>
      </c>
      <c r="D2" s="72">
        <v>27</v>
      </c>
      <c r="E2" s="66">
        <f t="shared" ref="E2:E9" si="0">C2*$B$14*$C$14</f>
        <v>0.4</v>
      </c>
    </row>
    <row r="3" spans="1:5" ht="15.75" customHeight="1" x14ac:dyDescent="0.2">
      <c r="A3" s="64" t="s">
        <v>96</v>
      </c>
      <c r="B3" s="64" t="s">
        <v>258</v>
      </c>
      <c r="C3" s="63">
        <v>2</v>
      </c>
      <c r="D3" s="72">
        <v>27</v>
      </c>
      <c r="E3" s="66">
        <f t="shared" si="0"/>
        <v>0.8</v>
      </c>
    </row>
    <row r="4" spans="1:5" ht="15.75" customHeight="1" x14ac:dyDescent="0.2">
      <c r="A4" s="64" t="s">
        <v>101</v>
      </c>
      <c r="B4" s="64" t="s">
        <v>259</v>
      </c>
      <c r="C4" s="63">
        <v>4</v>
      </c>
      <c r="D4" s="72">
        <v>27</v>
      </c>
      <c r="E4" s="66">
        <f t="shared" si="0"/>
        <v>1.6</v>
      </c>
    </row>
    <row r="5" spans="1:5" ht="15.75" customHeight="1" x14ac:dyDescent="0.2">
      <c r="A5" s="64" t="s">
        <v>96</v>
      </c>
      <c r="B5" s="64" t="s">
        <v>260</v>
      </c>
      <c r="C5" s="63">
        <v>6</v>
      </c>
      <c r="D5" s="72">
        <v>27</v>
      </c>
      <c r="E5" s="66">
        <f t="shared" si="0"/>
        <v>2.4</v>
      </c>
    </row>
    <row r="6" spans="1:5" ht="15.75" customHeight="1" x14ac:dyDescent="0.2">
      <c r="A6" s="64" t="s">
        <v>96</v>
      </c>
      <c r="B6" s="64" t="s">
        <v>273</v>
      </c>
      <c r="C6" s="63">
        <v>5</v>
      </c>
      <c r="D6" s="72">
        <v>27</v>
      </c>
      <c r="E6" s="66">
        <f t="shared" si="0"/>
        <v>2</v>
      </c>
    </row>
    <row r="7" spans="1:5" ht="15.75" customHeight="1" x14ac:dyDescent="0.2">
      <c r="A7" s="64" t="s">
        <v>96</v>
      </c>
      <c r="B7" s="64" t="s">
        <v>235</v>
      </c>
      <c r="C7" s="63">
        <v>2</v>
      </c>
      <c r="D7" s="72">
        <v>27</v>
      </c>
      <c r="E7" s="66">
        <f t="shared" si="0"/>
        <v>0.8</v>
      </c>
    </row>
    <row r="8" spans="1:5" ht="15.75" customHeight="1" x14ac:dyDescent="0.2">
      <c r="A8" s="64" t="s">
        <v>133</v>
      </c>
      <c r="B8" s="64" t="s">
        <v>274</v>
      </c>
      <c r="C8" s="63">
        <v>3</v>
      </c>
      <c r="D8" s="72">
        <v>27</v>
      </c>
      <c r="E8" s="66">
        <f t="shared" si="0"/>
        <v>1.2</v>
      </c>
    </row>
    <row r="9" spans="1:5" ht="15.75" customHeight="1" x14ac:dyDescent="0.2">
      <c r="A9" s="84" t="s">
        <v>133</v>
      </c>
      <c r="B9" s="84" t="s">
        <v>275</v>
      </c>
      <c r="C9" s="84">
        <v>2</v>
      </c>
      <c r="D9" s="72">
        <v>27</v>
      </c>
      <c r="E9" s="66">
        <f t="shared" si="0"/>
        <v>0.8</v>
      </c>
    </row>
    <row r="10" spans="1:5" ht="15.75" customHeight="1" x14ac:dyDescent="0.2">
      <c r="B10" s="67" t="s">
        <v>3</v>
      </c>
      <c r="C10" s="67">
        <f>SUM(C2:C9)</f>
        <v>25</v>
      </c>
      <c r="D10" s="68">
        <f>SUM(D2:D9)</f>
        <v>216</v>
      </c>
      <c r="E10" s="68">
        <f>SUM(E2:E9)</f>
        <v>10</v>
      </c>
    </row>
    <row r="11" spans="1:5" ht="15.75" customHeight="1" x14ac:dyDescent="0.2"/>
    <row r="12" spans="1:5" ht="15.75" customHeight="1" x14ac:dyDescent="0.2"/>
    <row r="13" spans="1:5" ht="15.75" customHeight="1" x14ac:dyDescent="0.2"/>
    <row r="14" spans="1:5" ht="15.75" customHeight="1" x14ac:dyDescent="0.2">
      <c r="A14" s="50" t="s">
        <v>2</v>
      </c>
      <c r="B14" s="70">
        <v>20</v>
      </c>
      <c r="C14" s="71">
        <v>0.02</v>
      </c>
    </row>
    <row r="15" spans="1:5" ht="15.75" customHeight="1" x14ac:dyDescent="0.2"/>
    <row r="16" spans="1:5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Total</vt:lpstr>
      <vt:lpstr>Niki Farnaz</vt:lpstr>
      <vt:lpstr>Amusia Sukkar</vt:lpstr>
      <vt:lpstr>Yara Jabbour</vt:lpstr>
      <vt:lpstr>Joanne Skaff</vt:lpstr>
      <vt:lpstr>Ghenwa Bazzi</vt:lpstr>
      <vt:lpstr>Karim Zein</vt:lpstr>
      <vt:lpstr>Sasha Rustom</vt:lpstr>
      <vt:lpstr>Andrea Tambe</vt:lpstr>
      <vt:lpstr>Sara Assaf</vt:lpstr>
      <vt:lpstr>Juliana Haddad</vt:lpstr>
      <vt:lpstr>Aceel Jawad</vt:lpstr>
      <vt:lpstr>ClaraNour Bekhazi</vt:lpstr>
      <vt:lpstr>Gise Rodriguez</vt:lpstr>
      <vt:lpstr>Mayssa Takieddine</vt:lpstr>
      <vt:lpstr>Laura Tannous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Andrew Barraj</cp:lastModifiedBy>
  <dcterms:created xsi:type="dcterms:W3CDTF">2026-03-04T23:09:07Z</dcterms:created>
  <dcterms:modified xsi:type="dcterms:W3CDTF">2026-03-04T23:09:07Z</dcterms:modified>
</cp:coreProperties>
</file>